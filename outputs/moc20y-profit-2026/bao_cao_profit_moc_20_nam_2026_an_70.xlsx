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39ed1e21e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5a849cd0e1c740b0"/>
    <x:sheet xmlns:r="http://schemas.openxmlformats.org/officeDocument/2006/relationships" name="Chi tiet" sheetId="2" r:id="Re7ce6d91b03443aa"/>
    <x:sheet xmlns:r="http://schemas.openxmlformats.org/officeDocument/2006/relationships" name="Gia dinh" sheetId="3" r:id="Reede2bfbc19641ad"/>
    <x:sheet xmlns:r="http://schemas.openxmlformats.org/officeDocument/2006/relationships" name="Kiem tra" sheetId="4" r:id="R2bcfb090d5ef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0.00%"/>
    <x:numFmt numFmtId="203" formatCode="0.00"/>
    <x:numFmt numFmtId="204" formatCode="#,##0;[Red](#,##0);-"/>
    <x:numFmt numFmtId="205" formatCode="0.00%;[Red](0.00%);-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15803D"/>
      <x:name val="Carlito"/>
    </x:font>
    <x:font>
      <x:sz val="11"/>
      <x:color rgb="FFB91C1C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11"/>
      <x:color rgb="FF64748B"/>
      <x:name val="Carlito"/>
    </x:font>
    <x:font>
      <x:b/>
      <x:sz val="16"/>
      <x:color rgb="FF111827"/>
      <x:name val="Carlito"/>
    </x:font>
    <x:font>
      <x:b/>
      <x:sz val="11"/>
      <x:color rgb="FF92400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213E"/>
      </x:patternFill>
    </x:fill>
    <x:fill>
      <x:patternFill patternType="solid">
        <x:fgColor rgb="FF2563EB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FFFBEB"/>
      </x:patternFill>
    </x:fill>
  </x:fills>
  <x:borders count="16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/>
    <x:xf numFmtId="200" fontId="3" fillId="0" borderId="2" xfId="0" applyNumberFormat="1" applyFont="1" applyFill="1" applyBorder="1"/>
    <x:xf numFmtId="0" fontId="2" fillId="2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205" fontId="0" fillId="0" borderId="1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5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  <x:xf numFmtId="205" fontId="0" fillId="0" borderId="3" xfId="0" applyNumberFormat="1" applyFont="1" applyFill="1" applyBorder="1"/>
    <x:xf numFmtId="201" fontId="0" fillId="4" borderId="1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2" fontId="0" fillId="4" borderId="1" xfId="0" applyNumberFormat="1" applyFont="1" applyFill="1" applyBorder="1"/>
    <x:xf numFmtId="203" fontId="0" fillId="4" borderId="1" xfId="0" applyNumberFormat="1" applyFont="1" applyFill="1" applyBorder="1"/>
    <x:xf numFmtId="204" fontId="0" fillId="4" borderId="1" xfId="0" applyNumberFormat="1" applyFont="1" applyFill="1" applyBorder="1"/>
    <x:xf numFmtId="205" fontId="0" fillId="4" borderId="1" xfId="0" applyNumberFormat="1" applyFont="1" applyFill="1" applyBorder="1"/>
    <x:xf numFmtId="201" fontId="0" fillId="4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2" fontId="0" fillId="4" borderId="2" xfId="0" applyNumberFormat="1" applyFont="1" applyFill="1" applyBorder="1"/>
    <x:xf numFmtId="203" fontId="0" fillId="4" borderId="2" xfId="0" applyNumberFormat="1" applyFont="1" applyFill="1" applyBorder="1"/>
    <x:xf numFmtId="204" fontId="0" fillId="4" borderId="2" xfId="0" applyNumberFormat="1" applyFont="1" applyFill="1" applyBorder="1"/>
    <x:xf numFmtId="205" fontId="0" fillId="4" borderId="2" xfId="0" applyNumberFormat="1" applyFont="1" applyFill="1" applyBorder="1"/>
    <x:xf numFmtId="204" fontId="5" fillId="4" borderId="1" xfId="0" applyNumberFormat="1" applyFont="1" applyFill="1" applyBorder="1"/>
    <x:xf numFmtId="204" fontId="5" fillId="4" borderId="2" xfId="0" applyNumberFormat="1" applyFont="1" applyFill="1" applyBorder="1"/>
    <x:xf numFmtId="201" fontId="0" fillId="5" borderId="2" xfId="0" applyNumberFormat="1" applyFont="1" applyFill="1" applyBorder="1"/>
    <x:xf numFmtId="0" fontId="0" fillId="5" borderId="2" xfId="0" applyNumberFormat="1" applyFont="1" applyFill="1" applyBorder="1"/>
    <x:xf numFmtId="200" fontId="0" fillId="5" borderId="2" xfId="0" applyNumberFormat="1" applyFont="1" applyFill="1" applyBorder="1"/>
    <x:xf numFmtId="202" fontId="0" fillId="5" borderId="2" xfId="0" applyNumberFormat="1" applyFont="1" applyFill="1" applyBorder="1"/>
    <x:xf numFmtId="203" fontId="0" fillId="5" borderId="2" xfId="0" applyNumberFormat="1" applyFont="1" applyFill="1" applyBorder="1"/>
    <x:xf numFmtId="204" fontId="0" fillId="5" borderId="2" xfId="0" applyNumberFormat="1" applyFont="1" applyFill="1" applyBorder="1"/>
    <x:xf numFmtId="205" fontId="0" fillId="5" borderId="2" xfId="0" applyNumberFormat="1" applyFont="1" applyFill="1" applyBorder="1"/>
    <x:xf numFmtId="201" fontId="0" fillId="5" borderId="3" xfId="0" applyNumberFormat="1" applyFont="1" applyFill="1" applyBorder="1"/>
    <x:xf numFmtId="0" fontId="0" fillId="5" borderId="3" xfId="0" applyNumberFormat="1" applyFont="1" applyFill="1" applyBorder="1"/>
    <x:xf numFmtId="200" fontId="0" fillId="5" borderId="3" xfId="0" applyNumberFormat="1" applyFont="1" applyFill="1" applyBorder="1"/>
    <x:xf numFmtId="202" fontId="0" fillId="5" borderId="3" xfId="0" applyNumberFormat="1" applyFont="1" applyFill="1" applyBorder="1"/>
    <x:xf numFmtId="203" fontId="0" fillId="5" borderId="3" xfId="0" applyNumberFormat="1" applyFont="1" applyFill="1" applyBorder="1"/>
    <x:xf numFmtId="204" fontId="0" fillId="5" borderId="3" xfId="0" applyNumberFormat="1" applyFont="1" applyFill="1" applyBorder="1"/>
    <x:xf numFmtId="205" fontId="0" fillId="5" borderId="3" xfId="0" applyNumberFormat="1" applyFont="1" applyFill="1" applyBorder="1"/>
    <x:xf numFmtId="204" fontId="6" fillId="5" borderId="2" xfId="0" applyNumberFormat="1" applyFont="1" applyFill="1" applyBorder="1"/>
    <x:xf numFmtId="204" fontId="6" fillId="5" borderId="3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4" xfId="0" applyNumberFormat="1" applyFont="1" applyFill="1" applyBorder="1"/>
    <x:xf numFmtId="0" fontId="10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 applyAlignment="1">
      <x:alignment horizontal="center" vertical="center"/>
    </x:xf>
    <x:xf numFmtId="0" fontId="10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204" fontId="10" fillId="7" borderId="4" xfId="0" applyNumberFormat="1" applyFont="1" applyFill="1" applyBorder="1" applyAlignment="1">
      <x:alignment horizontal="center" vertical="center"/>
    </x:xf>
    <x:xf numFmtId="204" fontId="10" fillId="7" borderId="5" xfId="0" applyNumberFormat="1" applyFont="1" applyFill="1" applyBorder="1" applyAlignment="1">
      <x:alignment horizontal="center" vertical="center"/>
    </x:xf>
    <x:xf numFmtId="204" fontId="10" fillId="7" borderId="6" xfId="0" applyNumberFormat="1" applyFont="1" applyFill="1" applyBorder="1" applyAlignment="1">
      <x:alignment horizontal="center" vertical="center"/>
    </x:xf>
    <x:xf numFmtId="204" fontId="10" fillId="7" borderId="7" xfId="0" applyNumberFormat="1" applyFont="1" applyFill="1" applyBorder="1" applyAlignment="1">
      <x:alignment horizontal="center" vertical="center"/>
    </x:xf>
    <x:xf numFmtId="202" fontId="10" fillId="7" borderId="4" xfId="0" applyNumberFormat="1" applyFont="1" applyFill="1" applyBorder="1" applyAlignment="1">
      <x:alignment horizontal="center" vertical="center"/>
    </x:xf>
    <x:xf numFmtId="202" fontId="10" fillId="7" borderId="5" xfId="0" applyNumberFormat="1" applyFont="1" applyFill="1" applyBorder="1" applyAlignment="1">
      <x:alignment horizontal="center" vertical="center"/>
    </x:xf>
    <x:xf numFmtId="202" fontId="10" fillId="7" borderId="6" xfId="0" applyNumberFormat="1" applyFont="1" applyFill="1" applyBorder="1" applyAlignment="1">
      <x:alignment horizontal="center" vertical="center"/>
    </x:xf>
    <x:xf numFmtId="202" fontId="10" fillId="7" borderId="7" xfId="0" applyNumberFormat="1" applyFont="1" applyFill="1" applyBorder="1" applyAlignment="1">
      <x:alignment horizontal="center" vertical="center"/>
    </x:xf>
    <x:xf numFmtId="201" fontId="10" fillId="7" borderId="4" xfId="0" applyNumberFormat="1" applyFont="1" applyFill="1" applyBorder="1" applyAlignment="1">
      <x:alignment horizontal="center" vertical="center"/>
    </x:xf>
    <x:xf numFmtId="201" fontId="10" fillId="7" borderId="5" xfId="0" applyNumberFormat="1" applyFont="1" applyFill="1" applyBorder="1" applyAlignment="1">
      <x:alignment horizontal="center" vertical="center"/>
    </x:xf>
    <x:xf numFmtId="201" fontId="10" fillId="7" borderId="6" xfId="0" applyNumberFormat="1" applyFont="1" applyFill="1" applyBorder="1" applyAlignment="1">
      <x:alignment horizontal="center" vertical="center"/>
    </x:xf>
    <x:xf numFmtId="201" fontId="10" fillId="7" borderId="7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3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204" fontId="5" fillId="4" borderId="3" xfId="0" applyNumberFormat="1" applyFont="1" applyFill="1" applyBorder="1"/>
    <x:xf numFmtId="202" fontId="0" fillId="4" borderId="3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8" xfId="0" applyNumberFormat="1" applyFont="1" applyFill="1" applyBorder="1"/>
    <x:xf numFmtId="0" fontId="11" fillId="9" borderId="9" xfId="0" applyNumberFormat="1" applyFont="1" applyFill="1" applyBorder="1"/>
    <x:xf numFmtId="0" fontId="11" fillId="9" borderId="10" xfId="0" applyNumberFormat="1" applyFont="1" applyFill="1" applyBorder="1"/>
    <x:xf numFmtId="0" fontId="11" fillId="9" borderId="11" xfId="0" applyNumberFormat="1" applyFont="1" applyFill="1" applyBorder="1"/>
    <x:xf numFmtId="0" fontId="11" fillId="9" borderId="12" xfId="0" applyNumberFormat="1" applyFont="1" applyFill="1" applyBorder="1"/>
    <x:xf numFmtId="0" fontId="11" fillId="9" borderId="13" xfId="0" applyNumberFormat="1" applyFont="1" applyFill="1" applyBorder="1"/>
    <x:xf numFmtId="0" fontId="11" fillId="9" borderId="14" xfId="0" applyNumberFormat="1" applyFont="1" applyFill="1" applyBorder="1"/>
    <x:xf numFmtId="0" fontId="11" fillId="9" borderId="15" xfId="0" applyNumberFormat="1" applyFont="1" applyFill="1" applyBorder="1"/>
    <x:xf numFmtId="0" fontId="11" fillId="9" borderId="8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10" xfId="0" applyNumberFormat="1" applyFont="1" applyFill="1" applyBorder="1" applyAlignment="1">
      <x:alignment wrapText="1"/>
    </x:xf>
    <x:xf numFmtId="0" fontId="11" fillId="9" borderId="11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1" fillId="9" borderId="12" xfId="0" applyNumberFormat="1" applyFont="1" applyFill="1" applyBorder="1" applyAlignment="1">
      <x:alignment wrapText="1"/>
    </x:xf>
    <x:xf numFmtId="0" fontId="11" fillId="9" borderId="13" xfId="0" applyNumberFormat="1" applyFont="1" applyFill="1" applyBorder="1" applyAlignment="1">
      <x:alignment wrapText="1"/>
    </x:xf>
    <x:xf numFmtId="0" fontId="11" fillId="9" borderId="14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9" xfId="0" applyNumberFormat="1" applyFont="1" applyFill="1" applyBorder="1" applyAlignment="1">
      <x:alignment vertical="center" wrapText="1"/>
    </x:xf>
    <x:xf numFmtId="0" fontId="11" fillId="9" borderId="10" xfId="0" applyNumberFormat="1" applyFont="1" applyFill="1" applyBorder="1" applyAlignment="1">
      <x:alignment vertical="center" wrapText="1"/>
    </x:xf>
    <x:xf numFmtId="0" fontId="11" fillId="9" borderId="11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0" fontId="11" fillId="9" borderId="12" xfId="0" applyNumberFormat="1" applyFont="1" applyFill="1" applyBorder="1" applyAlignment="1">
      <x:alignment vertical="center" wrapText="1"/>
    </x:xf>
    <x:xf numFmtId="0" fontId="11" fillId="9" borderId="13" xfId="0" applyNumberFormat="1" applyFont="1" applyFill="1" applyBorder="1" applyAlignment="1">
      <x:alignment vertical="center" wrapText="1"/>
    </x:xf>
    <x:xf numFmtId="0" fontId="11" fillId="9" borderId="14" xfId="0" applyNumberFormat="1" applyFont="1" applyFill="1" applyBorder="1" applyAlignment="1">
      <x:alignment vertical="center" wrapText="1"/>
    </x:xf>
    <x:xf numFmtId="0" fontId="11" fillId="9" borderId="15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aeae861a844746" /><Relationship Type="http://schemas.openxmlformats.org/officeDocument/2006/relationships/theme" Target="/xl/theme/theme1.xml" Id="R1ffe5bceda7d4db1" /><Relationship Type="http://schemas.openxmlformats.org/officeDocument/2006/relationships/sharedStrings" Target="/xl/sharedStrings.xml" Id="Re596ccec70a84720" /><Relationship Type="http://schemas.openxmlformats.org/officeDocument/2006/relationships/worksheet" Target="/xl/worksheets/sheet1.xml" Id="R5a849cd0e1c740b0" /><Relationship Type="http://schemas.openxmlformats.org/officeDocument/2006/relationships/worksheet" Target="/xl/worksheets/sheet2.xml" Id="Re7ce6d91b03443aa" /><Relationship Type="http://schemas.openxmlformats.org/officeDocument/2006/relationships/worksheet" Target="/xl/worksheets/sheet3.xml" Id="Reede2bfbc19641ad" /><Relationship Type="http://schemas.openxmlformats.org/officeDocument/2006/relationships/worksheet" Target="/xl/worksheets/sheet4.xml" Id="R2bcfb090d5ef4e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844d3fc55346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profit 2026 - 1 ăn 70 (K)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Profit (K)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'Tong quan'!$J$3:$J$12</c:f>
              <c:strCache>
                <c:ptCount val="0"/>
              </c:strCache>
            </c:strRef>
          </c:cat>
          <c:val>
            <c:numRef>
              <c:f>'Tong quan'!$K$3:$K$12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844d3fc55346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4af3a4216940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32" hidden="0" customWidth="1"/>
    <x:col min="11" max="11" width="16" hidden="0" customWidth="1"/>
  </x:cols>
  <x:sheetData>
    <x:row r="1">
      <x:c r="A1" s="83" t="str">
        <x:v>Báo cáo profit Mốc 20 năm - 2026 (1 ăn 70)</x:v>
      </x:c>
      <x:c r="B1" s="83"/>
      <x:c r="C1" s="83"/>
      <x:c r="D1" s="83"/>
      <x:c r="E1" s="83"/>
      <x:c r="F1" s="83"/>
      <x:c r="G1" s="83"/>
      <x:c r="H1" s="83"/>
    </x:row>
    <x:row r="2">
      <x:c r="A2" s="83"/>
      <x:c r="B2" s="83"/>
      <x:c r="C2" s="83"/>
      <x:c r="D2" s="83"/>
      <x:c r="E2" s="83"/>
      <x:c r="F2" s="83"/>
      <x:c r="G2" s="83"/>
      <x:c r="H2" s="83"/>
      <x:c r="J2" s="25" t="str">
        <x:v>Phương pháp</x:v>
      </x:c>
      <x:c r="K2" s="25" t="str">
        <x:v>Profit (K)</x:v>
      </x:c>
    </x:row>
    <x:row r="3">
      <x:c r="A3" s="85" t="str">
        <x:v>Giai đoạn 01/01/2026-26/06/2026 | 173 ngày | Mỗi số 1.000K | Trúng nhận 70 lần</x:v>
      </x:c>
      <x:c r="B3" s="85"/>
      <x:c r="C3" s="85"/>
      <x:c r="D3" s="85"/>
      <x:c r="E3" s="85"/>
      <x:c r="F3" s="85"/>
      <x:c r="G3" s="85"/>
      <x:c r="H3" s="85"/>
      <x:c r="J3" s="25" t="str">
        <x:v>chainSmallFirst H70</x:v>
      </x:c>
      <x:c r="K3" s="25" t="n">
        <x:v>507000</x:v>
      </x:c>
    </x:row>
    <x:row r="4">
      <x:c r="J4" s="25" t="str">
        <x:v>chainSmallFirst H75</x:v>
      </x:c>
      <x:c r="K4" s="25" t="n">
        <x:v>474000</x:v>
      </x:c>
    </x:row>
    <x:row r="5">
      <x:c r="A5" s="87" t="str">
        <x:v>Phương pháp profit cao nhất</x:v>
      </x:c>
      <x:c r="B5" s="87" t="str">
        <x:v>Phương pháp profit cao nhất</x:v>
      </x:c>
      <x:c r="C5" s="87" t="str">
        <x:v>Profit cao nhất (K)</x:v>
      </x:c>
      <x:c r="D5" s="87" t="str">
        <x:v>Profit cao nhất (K)</x:v>
      </x:c>
      <x:c r="E5" s="87" t="str">
        <x:v>ROI</x:v>
      </x:c>
      <x:c r="F5" s="87" t="str">
        <x:v>ROI</x:v>
      </x:c>
      <x:c r="G5" s="87" t="str">
        <x:v>Số phương án có lãi</x:v>
      </x:c>
      <x:c r="H5" s="87" t="str">
        <x:v>Số phương án có lãi</x:v>
      </x:c>
      <x:c r="J5" s="25" t="str">
        <x:v>chainSmallFirst H55</x:v>
      </x:c>
      <x:c r="K5" s="25" t="n">
        <x:v>317000</x:v>
      </x:c>
    </x:row>
    <x:row r="6">
      <x:c r="A6" s="98" t="str">
        <x:f>'Chi tiet'!B2&amp;" - Hold "&amp;'Chi tiet'!C2</x:f>
        <x:v>chainSmallFirst - Hold 70</x:v>
      </x:c>
      <x:c r="B6" s="99"/>
      <x:c r="C6" s="102" t="n">
        <x:f>'Chi tiet'!M2</x:f>
        <x:v>507000</x:v>
      </x:c>
      <x:c r="D6" s="103"/>
      <x:c r="E6" s="106" t="n">
        <x:f>'Chi tiet'!N2</x:f>
        <x:v>0.103829612942863</x:v>
      </x:c>
      <x:c r="F6" s="107"/>
      <x:c r="G6" s="110" t="n">
        <x:f>COUNTIF('Chi tiet'!M2:M97,"&gt;0")</x:f>
        <x:v>10</x:v>
      </x:c>
      <x:c r="H6" s="111"/>
      <x:c r="J6" s="25" t="str">
        <x:v>numberWeightedRisk H90</x:v>
      </x:c>
      <x:c r="K6" s="25" t="n">
        <x:v>300000</x:v>
      </x:c>
    </x:row>
    <x:row r="7">
      <x:c r="A7" s="100"/>
      <x:c r="B7" s="101"/>
      <x:c r="C7" s="104"/>
      <x:c r="D7" s="105"/>
      <x:c r="E7" s="108"/>
      <x:c r="F7" s="109"/>
      <x:c r="G7" s="112"/>
      <x:c r="H7" s="113"/>
      <x:c r="J7" s="25" t="str">
        <x:v>chainSmallFirst H80</x:v>
      </x:c>
      <x:c r="K7" s="25" t="n">
        <x:v>265000</x:v>
      </x:c>
    </x:row>
    <x:row r="8">
      <x:c r="J8" s="25" t="str">
        <x:v>chainSmallFirst H65</x:v>
      </x:c>
      <x:c r="K8" s="25" t="n">
        <x:v>239000</x:v>
      </x:c>
    </x:row>
    <x:row r="9">
      <x:c r="A9" s="115" t="str">
        <x:v>Top 10 phương án profit dương</x:v>
      </x:c>
      <x:c r="B9" s="115"/>
      <x:c r="C9" s="115"/>
      <x:c r="D9" s="115"/>
      <x:c r="E9" s="115"/>
      <x:c r="F9" s="115"/>
      <x:c r="G9" s="115"/>
      <x:c r="H9" s="115"/>
      <x:c r="J9" s="25" t="str">
        <x:v>numberAvgRisk H90</x:v>
      </x:c>
      <x:c r="K9" s="25" t="n">
        <x:v>230000</x:v>
      </x:c>
    </x:row>
    <x:row r="10">
      <x:c r="A10" s="116" t="str">
        <x:v>Hạng</x:v>
      </x:c>
      <x:c r="B10" s="116" t="str">
        <x:v>Phương pháp</x:v>
      </x:c>
      <x:c r="C10" s="116" t="str">
        <x:v>Hold</x:v>
      </x:c>
      <x:c r="D10" s="116" t="str">
        <x:v>Profit (K)</x:v>
      </x:c>
      <x:c r="E10" s="116" t="str">
        <x:v>ROI</x:v>
      </x:c>
      <x:c r="F10" s="116" t="str">
        <x:v>Tỷ lệ trúng</x:v>
      </x:c>
      <x:c r="G10" s="116" t="str">
        <x:v>Biên an toàn</x:v>
      </x:c>
      <x:c r="H10" s="116" t="str">
        <x:v>Thua dài nhất</x:v>
      </x:c>
      <x:c r="J10" s="25" t="str">
        <x:v>chainSmallFirst H60</x:v>
      </x:c>
      <x:c r="K10" s="25" t="n">
        <x:v>229000</x:v>
      </x:c>
    </x:row>
    <x:row r="11">
      <x:c r="A11" s="51" t="n">
        <x:f>'Chi tiet'!A2</x:f>
        <x:v>1</x:v>
      </x:c>
      <x:c r="B11" s="51" t="str">
        <x:f>'Chi tiet'!B2</x:f>
        <x:v>chainSmallFirst</x:v>
      </x:c>
      <x:c r="C11" s="51" t="n">
        <x:f>'Chi tiet'!C2</x:f>
        <x:v>70</x:v>
      </x:c>
      <x:c r="D11" s="64" t="n">
        <x:f>'Chi tiet'!M2</x:f>
        <x:v>507000</x:v>
      </x:c>
      <x:c r="E11" s="53" t="n">
        <x:f>'Chi tiet'!N2</x:f>
        <x:v>0.103829612942863</x:v>
      </x:c>
      <x:c r="F11" s="53" t="n">
        <x:f>'Chi tiet'!G2</x:f>
        <x:v>0.44508670520231214</x:v>
      </x:c>
      <x:c r="G11" s="53" t="n">
        <x:f>'Chi tiet'!J2</x:f>
        <x:v>0.04186622625928982</x:v>
      </x:c>
      <x:c r="H11" s="51" t="n">
        <x:f>'Chi tiet'!P2</x:f>
        <x:v>5</x:v>
      </x:c>
      <x:c r="J11" s="25" t="str">
        <x:v>numberConsensusRisk H90</x:v>
      </x:c>
      <x:c r="K11" s="25" t="n">
        <x:v>160000</x:v>
      </x:c>
    </x:row>
    <x:row r="12">
      <x:c r="A12" s="58" t="n">
        <x:f>'Chi tiet'!A3</x:f>
        <x:v>2</x:v>
      </x:c>
      <x:c r="B12" s="58" t="str">
        <x:f>'Chi tiet'!B3</x:f>
        <x:v>chainSmallFirst</x:v>
      </x:c>
      <x:c r="C12" s="58" t="n">
        <x:f>'Chi tiet'!C3</x:f>
        <x:v>75</x:v>
      </x:c>
      <x:c r="D12" s="65" t="n">
        <x:f>'Chi tiet'!M3</x:f>
        <x:v>474000</x:v>
      </x:c>
      <x:c r="E12" s="60" t="n">
        <x:f>'Chi tiet'!N3</x:f>
        <x:v>0.11629048086359176</x:v>
      </x:c>
      <x:c r="F12" s="60" t="n">
        <x:f>'Chi tiet'!G3</x:f>
        <x:v>0.37572254335260113</x:v>
      </x:c>
      <x:c r="G12" s="60" t="n">
        <x:f>'Chi tiet'!J3</x:f>
        <x:v>0.03914120561519402</x:v>
      </x:c>
      <x:c r="H12" s="58" t="n">
        <x:f>'Chi tiet'!P3</x:f>
        <x:v>5</x:v>
      </x:c>
      <x:c r="J12" s="25" t="str">
        <x:v>chainSmallFirst H85</x:v>
      </x:c>
      <x:c r="K12" s="25" t="n">
        <x:v>11000</x:v>
      </x:c>
    </x:row>
    <x:row r="13">
      <x:c r="A13" s="58" t="n">
        <x:f>'Chi tiet'!A4</x:f>
        <x:v>3</x:v>
      </x:c>
      <x:c r="B13" s="58" t="str">
        <x:f>'Chi tiet'!B4</x:f>
        <x:v>chainSmallFirst</x:v>
      </x:c>
      <x:c r="C13" s="58" t="n">
        <x:f>'Chi tiet'!C4</x:f>
        <x:v>55</x:v>
      </x:c>
      <x:c r="D13" s="65" t="n">
        <x:f>'Chi tiet'!M4</x:f>
        <x:v>317000</x:v>
      </x:c>
      <x:c r="E13" s="60" t="n">
        <x:f>'Chi tiet'!N4</x:f>
        <x:v>0.04253320810411915</x:v>
      </x:c>
      <x:c r="F13" s="60" t="n">
        <x:f>'Chi tiet'!G4</x:f>
        <x:v>0.6416184971098265</x:v>
      </x:c>
      <x:c r="G13" s="60" t="n">
        <x:f>'Chi tiet'!J4</x:f>
        <x:v>0.02617671345995043</x:v>
      </x:c>
      <x:c r="H13" s="58" t="n">
        <x:f>'Chi tiet'!P4</x:f>
        <x:v>5</x:v>
      </x:c>
    </x:row>
    <x:row r="14">
      <x:c r="A14" s="58" t="n">
        <x:f>'Chi tiet'!A5</x:f>
        <x:v>4</x:v>
      </x:c>
      <x:c r="B14" s="58" t="str">
        <x:f>'Chi tiet'!B5</x:f>
        <x:v>numberWeightedRisk</x:v>
      </x:c>
      <x:c r="C14" s="58" t="n">
        <x:f>'Chi tiet'!C5</x:f>
        <x:v>90</x:v>
      </x:c>
      <x:c r="D14" s="65" t="n">
        <x:f>'Chi tiet'!M5</x:f>
        <x:v>300000</x:v>
      </x:c>
      <x:c r="E14" s="60" t="n">
        <x:f>'Chi tiet'!N5</x:f>
        <x:v>0.17341040462427745</x:v>
      </x:c>
      <x:c r="F14" s="60" t="n">
        <x:f>'Chi tiet'!G5</x:f>
        <x:v>0.1676300578034682</x:v>
      </x:c>
      <x:c r="G14" s="60" t="n">
        <x:f>'Chi tiet'!J5</x:f>
        <x:v>0.02477291494632536</x:v>
      </x:c>
      <x:c r="H14" s="58" t="n">
        <x:f>'Chi tiet'!P5</x:f>
        <x:v>15</x:v>
      </x:c>
    </x:row>
    <x:row r="15">
      <x:c r="A15" s="58" t="n">
        <x:f>'Chi tiet'!A6</x:f>
        <x:v>5</x:v>
      </x:c>
      <x:c r="B15" s="58" t="str">
        <x:f>'Chi tiet'!B6</x:f>
        <x:v>chainSmallFirst</x:v>
      </x:c>
      <x:c r="C15" s="58" t="n">
        <x:f>'Chi tiet'!C6</x:f>
        <x:v>80</x:v>
      </x:c>
      <x:c r="D15" s="65" t="n">
        <x:f>'Chi tiet'!M6</x:f>
        <x:v>265000</x:v>
      </x:c>
      <x:c r="E15" s="60" t="n">
        <x:f>'Chi tiet'!N6</x:f>
        <x:v>0.08191653786707882</x:v>
      </x:c>
      <x:c r="F15" s="60" t="n">
        <x:f>'Chi tiet'!G6</x:f>
        <x:v>0.28901734104046245</x:v>
      </x:c>
      <x:c r="G15" s="60" t="n">
        <x:f>'Chi tiet'!J6</x:f>
        <x:v>0.021882741535920736</x:v>
      </x:c>
      <x:c r="H15" s="58" t="n">
        <x:f>'Chi tiet'!P6</x:f>
        <x:v>8</x:v>
      </x:c>
    </x:row>
    <x:row r="16">
      <x:c r="A16" s="58" t="n">
        <x:f>'Chi tiet'!A7</x:f>
        <x:v>6</x:v>
      </x:c>
      <x:c r="B16" s="58" t="str">
        <x:f>'Chi tiet'!B7</x:f>
        <x:v>chainSmallFirst</x:v>
      </x:c>
      <x:c r="C16" s="58" t="n">
        <x:f>'Chi tiet'!C7</x:f>
        <x:v>65</x:v>
      </x:c>
      <x:c r="D16" s="65" t="n">
        <x:f>'Chi tiet'!M7</x:f>
        <x:v>239000</x:v>
      </x:c>
      <x:c r="E16" s="60" t="n">
        <x:f>'Chi tiet'!N7</x:f>
        <x:v>0.04184906321134652</x:v>
      </x:c>
      <x:c r="F16" s="60" t="n">
        <x:f>'Chi tiet'!G7</x:f>
        <x:v>0.4913294797687861</x:v>
      </x:c>
      <x:c r="G16" s="60" t="n">
        <x:f>'Chi tiet'!J7</x:f>
        <x:v>0.019735755573905944</x:v>
      </x:c>
      <x:c r="H16" s="58" t="n">
        <x:f>'Chi tiet'!P7</x:f>
        <x:v>5</x:v>
      </x:c>
    </x:row>
    <x:row r="17">
      <x:c r="A17" s="58" t="n">
        <x:f>'Chi tiet'!A8</x:f>
        <x:v>7</x:v>
      </x:c>
      <x:c r="B17" s="58" t="str">
        <x:f>'Chi tiet'!B8</x:f>
        <x:v>numberAvgRisk</x:v>
      </x:c>
      <x:c r="C17" s="58" t="n">
        <x:f>'Chi tiet'!C8</x:f>
        <x:v>90</x:v>
      </x:c>
      <x:c r="D17" s="65" t="n">
        <x:f>'Chi tiet'!M8</x:f>
        <x:v>230000</x:v>
      </x:c>
      <x:c r="E17" s="60" t="n">
        <x:f>'Chi tiet'!N8</x:f>
        <x:v>0.1329479768786127</x:v>
      </x:c>
      <x:c r="F17" s="60" t="n">
        <x:f>'Chi tiet'!G8</x:f>
        <x:v>0.16184971098265896</x:v>
      </x:c>
      <x:c r="G17" s="60" t="n">
        <x:f>'Chi tiet'!J8</x:f>
        <x:v>0.018992568125516113</x:v>
      </x:c>
      <x:c r="H17" s="58" t="n">
        <x:f>'Chi tiet'!P8</x:f>
        <x:v>16</x:v>
      </x:c>
    </x:row>
    <x:row r="18">
      <x:c r="A18" s="58" t="n">
        <x:f>'Chi tiet'!A9</x:f>
        <x:v>8</x:v>
      </x:c>
      <x:c r="B18" s="58" t="str">
        <x:f>'Chi tiet'!B9</x:f>
        <x:v>chainSmallFirst</x:v>
      </x:c>
      <x:c r="C18" s="58" t="n">
        <x:f>'Chi tiet'!C9</x:f>
        <x:v>60</x:v>
      </x:c>
      <x:c r="D18" s="65" t="n">
        <x:f>'Chi tiet'!M9</x:f>
        <x:v>229000</x:v>
      </x:c>
      <x:c r="E18" s="60" t="n">
        <x:f>'Chi tiet'!N9</x:f>
        <x:v>0.0345347609711959</x:v>
      </x:c>
      <x:c r="F18" s="60" t="n">
        <x:f>'Chi tiet'!G9</x:f>
        <x:v>0.5664739884393064</x:v>
      </x:c>
      <x:c r="G18" s="60" t="n">
        <x:f>'Chi tiet'!J9</x:f>
        <x:v>0.018909991742361743</x:v>
      </x:c>
      <x:c r="H18" s="58" t="n">
        <x:f>'Chi tiet'!P9</x:f>
        <x:v>5</x:v>
      </x:c>
    </x:row>
    <x:row r="19">
      <x:c r="A19" s="58" t="n">
        <x:f>'Chi tiet'!A10</x:f>
        <x:v>9</x:v>
      </x:c>
      <x:c r="B19" s="58" t="str">
        <x:f>'Chi tiet'!B10</x:f>
        <x:v>numberConsensusRisk</x:v>
      </x:c>
      <x:c r="C19" s="58" t="n">
        <x:f>'Chi tiet'!C10</x:f>
        <x:v>90</x:v>
      </x:c>
      <x:c r="D19" s="65" t="n">
        <x:f>'Chi tiet'!M10</x:f>
        <x:v>160000</x:v>
      </x:c>
      <x:c r="E19" s="60" t="n">
        <x:f>'Chi tiet'!N10</x:f>
        <x:v>0.09248554913294797</x:v>
      </x:c>
      <x:c r="F19" s="60" t="n">
        <x:f>'Chi tiet'!G10</x:f>
        <x:v>0.15606936416184972</x:v>
      </x:c>
      <x:c r="G19" s="60" t="n">
        <x:f>'Chi tiet'!J10</x:f>
        <x:v>0.013212221304706867</x:v>
      </x:c>
      <x:c r="H19" s="58" t="n">
        <x:f>'Chi tiet'!P10</x:f>
        <x:v>16</x:v>
      </x:c>
    </x:row>
    <x:row r="20">
      <x:c r="A20" s="118" t="n">
        <x:f>'Chi tiet'!A11</x:f>
        <x:v>10</x:v>
      </x:c>
      <x:c r="B20" s="118" t="str">
        <x:f>'Chi tiet'!B11</x:f>
        <x:v>chainSmallFirst</x:v>
      </x:c>
      <x:c r="C20" s="118" t="n">
        <x:f>'Chi tiet'!C11</x:f>
        <x:v>85</x:v>
      </x:c>
      <x:c r="D20" s="122" t="n">
        <x:f>'Chi tiet'!M11</x:f>
        <x:v>11000</x:v>
      </x:c>
      <x:c r="E20" s="123" t="n">
        <x:f>'Chi tiet'!N11</x:f>
        <x:v>0.004643309413254538</x:v>
      </x:c>
      <x:c r="F20" s="123" t="n">
        <x:f>'Chi tiet'!G11</x:f>
        <x:v>0.19653179190751446</x:v>
      </x:c>
      <x:c r="G20" s="123" t="n">
        <x:f>'Chi tiet'!J11</x:f>
        <x:v>0.0009083402146986275</x:v>
      </x:c>
      <x:c r="H20" s="118" t="n">
        <x:f>'Chi tiet'!P11</x:f>
        <x:v>14</x:v>
      </x:c>
    </x:row>
    <x:row r="23">
      <x:c r="A23" s="143" t="str">
        <x:v>Kết luận: chainSmallFirst Hold 70 có profit 2026 cao nhất và biên an toàn 4,19 điểm %. Không có phương án nào đảm bảo lãi trong tương lai; cần theo dõi rolling 60-90 ngày.</x:v>
      </x:c>
      <x:c r="B23" s="144"/>
      <x:c r="C23" s="144"/>
      <x:c r="D23" s="144"/>
      <x:c r="E23" s="144"/>
      <x:c r="F23" s="144"/>
      <x:c r="G23" s="144"/>
      <x:c r="H23" s="145"/>
    </x:row>
    <x:row r="24">
      <x:c r="A24" s="146"/>
      <x:c r="B24" s="147"/>
      <x:c r="C24" s="147"/>
      <x:c r="D24" s="147"/>
      <x:c r="E24" s="147"/>
      <x:c r="F24" s="147"/>
      <x:c r="G24" s="147"/>
      <x:c r="H24" s="148"/>
    </x:row>
    <x:row r="25">
      <x:c r="A25" s="149"/>
      <x:c r="B25" s="150"/>
      <x:c r="C25" s="150"/>
      <x:c r="D25" s="150"/>
      <x:c r="E25" s="150"/>
      <x:c r="F25" s="150"/>
      <x:c r="G25" s="150"/>
      <x:c r="H25" s="151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23:H25"/>
  </x:mergeCells>
  <x:pageMargins left="0.7" right="0.7" top="0.75" bottom="0.75" header="0.3" footer="0.3"/>
  <x:drawing xmlns:r="http://schemas.openxmlformats.org/officeDocument/2006/relationships" r:id="R4a4af3a42169405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6" hidden="0" customWidth="1"/>
  </x:cols>
  <x:sheetData>
    <x:row r="1" ht="34" customHeight="1">
      <x:c r="A1" s="23" t="str">
        <x:v>Xếp hạng</x:v>
      </x:c>
      <x:c r="B1" s="23" t="str">
        <x:v>Phương pháp</x:v>
      </x:c>
      <x:c r="C1" s="23" t="str">
        <x:v>Hold</x:v>
      </x:c>
      <x:c r="D1" s="23" t="str">
        <x:v>Số ngày</x:v>
      </x:c>
      <x:c r="E1" s="23" t="str">
        <x:v>Số ngày trúng</x:v>
      </x:c>
      <x:c r="F1" s="23" t="str">
        <x:v>Số ngày trượt</x:v>
      </x:c>
      <x:c r="G1" s="23" t="str">
        <x:v>Tỷ lệ trúng</x:v>
      </x:c>
      <x:c r="H1" s="23" t="str">
        <x:v>Số đánh TB/ngày</x:v>
      </x:c>
      <x:c r="I1" s="23" t="str">
        <x:v>Điểm hòa vốn</x:v>
      </x:c>
      <x:c r="J1" s="23" t="str">
        <x:v>Biên an toàn</x:v>
      </x:c>
      <x:c r="K1" s="23" t="str">
        <x:v>Tiền đánh (K)</x:v>
      </x:c>
      <x:c r="L1" s="23" t="str">
        <x:v>Payout 1 an 70 (K)</x:v>
      </x:c>
      <x:c r="M1" s="23" t="str">
        <x:v>Profit (K)</x:v>
      </x:c>
      <x:c r="N1" s="23" t="str">
        <x:v>ROI</x:v>
      </x:c>
      <x:c r="O1" s="23" t="str">
        <x:v>Thắng dài nhất</x:v>
      </x:c>
      <x:c r="P1" s="23" t="str">
        <x:v>Thua dài nhất</x:v>
      </x:c>
      <x:c r="Q1" s="23" t="str">
        <x:v>Đánh giá</x:v>
      </x:c>
    </x:row>
    <x:row r="2">
      <x:c r="A2" s="50" t="n">
        <x:v>1</x:v>
      </x:c>
      <x:c r="B2" s="51" t="str">
        <x:v>chainSmallFirst</x:v>
      </x:c>
      <x:c r="C2" s="52" t="n">
        <x:v>70</x:v>
      </x:c>
      <x:c r="D2" s="52" t="n">
        <x:v>173</x:v>
      </x:c>
      <x:c r="E2" s="52" t="n">
        <x:v>77</x:v>
      </x:c>
      <x:c r="F2" s="52" t="n">
        <x:v>96</x:v>
      </x:c>
      <x:c r="G2" s="53" t="n">
        <x:f>E2/D2</x:f>
        <x:v>0.44508670520231214</x:v>
      </x:c>
      <x:c r="H2" s="54" t="n">
        <x:f>K2/D2/'Gia dinh'!$B$5</x:f>
        <x:v>28.225433526011564</x:v>
      </x:c>
      <x:c r="I2" s="53" t="n">
        <x:f>H2/'Gia dinh'!$B$6</x:f>
        <x:v>0.4032204789430223</x:v>
      </x:c>
      <x:c r="J2" s="53" t="n">
        <x:f>G2-I2</x:f>
        <x:v>0.04186622625928982</x:v>
      </x:c>
      <x:c r="K2" s="55" t="n">
        <x:v>4883000</x:v>
      </x:c>
      <x:c r="L2" s="55" t="n">
        <x:f>E2*'Gia dinh'!$B$7</x:f>
        <x:v>5390000</x:v>
      </x:c>
      <x:c r="M2" s="64" t="n">
        <x:f>L2-K2</x:f>
        <x:v>507000</x:v>
      </x:c>
      <x:c r="N2" s="56" t="n">
        <x:f>M2/K2</x:f>
        <x:v>0.103829612942863</x:v>
      </x:c>
      <x:c r="O2" s="50" t="n">
        <x:v>5</x:v>
      </x:c>
      <x:c r="P2" s="50" t="n">
        <x:v>5</x:v>
      </x:c>
      <x:c r="Q2" s="51" t="str">
        <x:f>IF(M2&lt;=0,"Loại",IF(AND(J2&gt;=0.03,P2&lt;=8),"Khuyến nghị","Theo dõi"))</x:f>
        <x:v>Khuyến nghị</x:v>
      </x:c>
    </x:row>
    <x:row r="3">
      <x:c r="A3" s="57" t="n">
        <x:v>2</x:v>
      </x:c>
      <x:c r="B3" s="58" t="str">
        <x:v>chainSmallFirst</x:v>
      </x:c>
      <x:c r="C3" s="59" t="n">
        <x:v>75</x:v>
      </x:c>
      <x:c r="D3" s="59" t="n">
        <x:v>173</x:v>
      </x:c>
      <x:c r="E3" s="59" t="n">
        <x:v>65</x:v>
      </x:c>
      <x:c r="F3" s="59" t="n">
        <x:v>108</x:v>
      </x:c>
      <x:c r="G3" s="60" t="n">
        <x:f>E3/D3</x:f>
        <x:v>0.37572254335260113</x:v>
      </x:c>
      <x:c r="H3" s="61" t="n">
        <x:f>K3/D3/'Gia dinh'!$B$5</x:f>
        <x:v>23.5606936416185</x:v>
      </x:c>
      <x:c r="I3" s="60" t="n">
        <x:f>H3/'Gia dinh'!$B$6</x:f>
        <x:v>0.3365813377374071</x:v>
      </x:c>
      <x:c r="J3" s="60" t="n">
        <x:f>G3-I3</x:f>
        <x:v>0.03914120561519402</x:v>
      </x:c>
      <x:c r="K3" s="62" t="n">
        <x:v>4076000</x:v>
      </x:c>
      <x:c r="L3" s="62" t="n">
        <x:f>E3*'Gia dinh'!$B$7</x:f>
        <x:v>4550000</x:v>
      </x:c>
      <x:c r="M3" s="65" t="n">
        <x:f>L3-K3</x:f>
        <x:v>474000</x:v>
      </x:c>
      <x:c r="N3" s="63" t="n">
        <x:f>M3/K3</x:f>
        <x:v>0.11629048086359176</x:v>
      </x:c>
      <x:c r="O3" s="57" t="n">
        <x:v>4</x:v>
      </x:c>
      <x:c r="P3" s="57" t="n">
        <x:v>5</x:v>
      </x:c>
      <x:c r="Q3" s="58" t="str">
        <x:f>IF(M3&lt;=0,"Loại",IF(AND(J3&gt;=0.03,P3&lt;=8),"Khuyến nghị","Theo dõi"))</x:f>
        <x:v>Khuyến nghị</x:v>
      </x:c>
    </x:row>
    <x:row r="4">
      <x:c r="A4" s="57" t="n">
        <x:v>3</x:v>
      </x:c>
      <x:c r="B4" s="58" t="str">
        <x:v>chainSmallFirst</x:v>
      </x:c>
      <x:c r="C4" s="59" t="n">
        <x:v>55</x:v>
      </x:c>
      <x:c r="D4" s="59" t="n">
        <x:v>173</x:v>
      </x:c>
      <x:c r="E4" s="59" t="n">
        <x:v>111</x:v>
      </x:c>
      <x:c r="F4" s="59" t="n">
        <x:v>62</x:v>
      </x:c>
      <x:c r="G4" s="60" t="n">
        <x:f>E4/D4</x:f>
        <x:v>0.6416184971098265</x:v>
      </x:c>
      <x:c r="H4" s="61" t="n">
        <x:f>K4/D4/'Gia dinh'!$B$5</x:f>
        <x:v>43.080924855491325</x:v>
      </x:c>
      <x:c r="I4" s="60" t="n">
        <x:f>H4/'Gia dinh'!$B$6</x:f>
        <x:v>0.6154417836498761</x:v>
      </x:c>
      <x:c r="J4" s="60" t="n">
        <x:f>G4-I4</x:f>
        <x:v>0.02617671345995043</x:v>
      </x:c>
      <x:c r="K4" s="62" t="n">
        <x:v>7453000</x:v>
      </x:c>
      <x:c r="L4" s="62" t="n">
        <x:f>E4*'Gia dinh'!$B$7</x:f>
        <x:v>7770000</x:v>
      </x:c>
      <x:c r="M4" s="65" t="n">
        <x:f>L4-K4</x:f>
        <x:v>317000</x:v>
      </x:c>
      <x:c r="N4" s="63" t="n">
        <x:f>M4/K4</x:f>
        <x:v>0.04253320810411915</x:v>
      </x:c>
      <x:c r="O4" s="57" t="n">
        <x:v>10</x:v>
      </x:c>
      <x:c r="P4" s="57" t="n">
        <x:v>5</x:v>
      </x:c>
      <x:c r="Q4" s="58" t="str">
        <x:f>IF(M4&lt;=0,"Loại",IF(AND(J4&gt;=0.03,P4&lt;=8),"Khuyến nghị","Theo dõi"))</x:f>
        <x:v>Theo dõi</x:v>
      </x:c>
    </x:row>
    <x:row r="5">
      <x:c r="A5" s="57" t="n">
        <x:v>4</x:v>
      </x:c>
      <x:c r="B5" s="58" t="str">
        <x:v>numberWeightedRisk</x:v>
      </x:c>
      <x:c r="C5" s="59" t="n">
        <x:v>90</x:v>
      </x:c>
      <x:c r="D5" s="59" t="n">
        <x:v>173</x:v>
      </x:c>
      <x:c r="E5" s="59" t="n">
        <x:v>29</x:v>
      </x:c>
      <x:c r="F5" s="59" t="n">
        <x:v>144</x:v>
      </x:c>
      <x:c r="G5" s="60" t="n">
        <x:f>E5/D5</x:f>
        <x:v>0.1676300578034682</x:v>
      </x:c>
      <x:c r="H5" s="61" t="n">
        <x:f>K5/D5/'Gia dinh'!$B$5</x:f>
        <x:v>10</x:v>
      </x:c>
      <x:c r="I5" s="60" t="n">
        <x:f>H5/'Gia dinh'!$B$6</x:f>
        <x:v>0.14285714285714285</x:v>
      </x:c>
      <x:c r="J5" s="60" t="n">
        <x:f>G5-I5</x:f>
        <x:v>0.02477291494632536</x:v>
      </x:c>
      <x:c r="K5" s="62" t="n">
        <x:v>1730000</x:v>
      </x:c>
      <x:c r="L5" s="62" t="n">
        <x:f>E5*'Gia dinh'!$B$7</x:f>
        <x:v>2030000</x:v>
      </x:c>
      <x:c r="M5" s="65" t="n">
        <x:f>L5-K5</x:f>
        <x:v>300000</x:v>
      </x:c>
      <x:c r="N5" s="63" t="n">
        <x:f>M5/K5</x:f>
        <x:v>0.17341040462427745</x:v>
      </x:c>
      <x:c r="O5" s="57" t="n">
        <x:v>2</x:v>
      </x:c>
      <x:c r="P5" s="57" t="n">
        <x:v>15</x:v>
      </x:c>
      <x:c r="Q5" s="58" t="str">
        <x:f>IF(M5&lt;=0,"Loại",IF(AND(J5&gt;=0.03,P5&lt;=8),"Khuyến nghị","Theo dõi"))</x:f>
        <x:v>Theo dõi</x:v>
      </x:c>
    </x:row>
    <x:row r="6">
      <x:c r="A6" s="57" t="n">
        <x:v>5</x:v>
      </x:c>
      <x:c r="B6" s="58" t="str">
        <x:v>chainSmallFirst</x:v>
      </x:c>
      <x:c r="C6" s="59" t="n">
        <x:v>80</x:v>
      </x:c>
      <x:c r="D6" s="59" t="n">
        <x:v>173</x:v>
      </x:c>
      <x:c r="E6" s="59" t="n">
        <x:v>50</x:v>
      </x:c>
      <x:c r="F6" s="59" t="n">
        <x:v>123</x:v>
      </x:c>
      <x:c r="G6" s="60" t="n">
        <x:f>E6/D6</x:f>
        <x:v>0.28901734104046245</x:v>
      </x:c>
      <x:c r="H6" s="61" t="n">
        <x:f>K6/D6/'Gia dinh'!$B$5</x:f>
        <x:v>18.69942196531792</x:v>
      </x:c>
      <x:c r="I6" s="60" t="n">
        <x:f>H6/'Gia dinh'!$B$6</x:f>
        <x:v>0.2671345995045417</x:v>
      </x:c>
      <x:c r="J6" s="60" t="n">
        <x:f>G6-I6</x:f>
        <x:v>0.021882741535920736</x:v>
      </x:c>
      <x:c r="K6" s="62" t="n">
        <x:v>3235000</x:v>
      </x:c>
      <x:c r="L6" s="62" t="n">
        <x:f>E6*'Gia dinh'!$B$7</x:f>
        <x:v>3500000</x:v>
      </x:c>
      <x:c r="M6" s="65" t="n">
        <x:f>L6-K6</x:f>
        <x:v>265000</x:v>
      </x:c>
      <x:c r="N6" s="63" t="n">
        <x:f>M6/K6</x:f>
        <x:v>0.08191653786707882</x:v>
      </x:c>
      <x:c r="O6" s="57" t="n">
        <x:v>4</x:v>
      </x:c>
      <x:c r="P6" s="57" t="n">
        <x:v>8</x:v>
      </x:c>
      <x:c r="Q6" s="58" t="str">
        <x:f>IF(M6&lt;=0,"Loại",IF(AND(J6&gt;=0.03,P6&lt;=8),"Khuyến nghị","Theo dõi"))</x:f>
        <x:v>Theo dõi</x:v>
      </x:c>
    </x:row>
    <x:row r="7">
      <x:c r="A7" s="57" t="n">
        <x:v>6</x:v>
      </x:c>
      <x:c r="B7" s="58" t="str">
        <x:v>chainSmallFirst</x:v>
      </x:c>
      <x:c r="C7" s="59" t="n">
        <x:v>65</x:v>
      </x:c>
      <x:c r="D7" s="59" t="n">
        <x:v>173</x:v>
      </x:c>
      <x:c r="E7" s="59" t="n">
        <x:v>85</x:v>
      </x:c>
      <x:c r="F7" s="59" t="n">
        <x:v>88</x:v>
      </x:c>
      <x:c r="G7" s="60" t="n">
        <x:f>E7/D7</x:f>
        <x:v>0.4913294797687861</x:v>
      </x:c>
      <x:c r="H7" s="61" t="n">
        <x:f>K7/D7/'Gia dinh'!$B$5</x:f>
        <x:v>33.01156069364161</x:v>
      </x:c>
      <x:c r="I7" s="60" t="n">
        <x:f>H7/'Gia dinh'!$B$6</x:f>
        <x:v>0.47159372419488016</x:v>
      </x:c>
      <x:c r="J7" s="60" t="n">
        <x:f>G7-I7</x:f>
        <x:v>0.019735755573905944</x:v>
      </x:c>
      <x:c r="K7" s="62" t="n">
        <x:v>5711000</x:v>
      </x:c>
      <x:c r="L7" s="62" t="n">
        <x:f>E7*'Gia dinh'!$B$7</x:f>
        <x:v>5950000</x:v>
      </x:c>
      <x:c r="M7" s="65" t="n">
        <x:f>L7-K7</x:f>
        <x:v>239000</x:v>
      </x:c>
      <x:c r="N7" s="63" t="n">
        <x:f>M7/K7</x:f>
        <x:v>0.04184906321134652</x:v>
      </x:c>
      <x:c r="O7" s="57" t="n">
        <x:v>8</x:v>
      </x:c>
      <x:c r="P7" s="57" t="n">
        <x:v>5</x:v>
      </x:c>
      <x:c r="Q7" s="58" t="str">
        <x:f>IF(M7&lt;=0,"Loại",IF(AND(J7&gt;=0.03,P7&lt;=8),"Khuyến nghị","Theo dõi"))</x:f>
        <x:v>Theo dõi</x:v>
      </x:c>
    </x:row>
    <x:row r="8">
      <x:c r="A8" s="57" t="n">
        <x:v>7</x:v>
      </x:c>
      <x:c r="B8" s="58" t="str">
        <x:v>numberAvgRisk</x:v>
      </x:c>
      <x:c r="C8" s="59" t="n">
        <x:v>90</x:v>
      </x:c>
      <x:c r="D8" s="59" t="n">
        <x:v>173</x:v>
      </x:c>
      <x:c r="E8" s="59" t="n">
        <x:v>28</x:v>
      </x:c>
      <x:c r="F8" s="59" t="n">
        <x:v>145</x:v>
      </x:c>
      <x:c r="G8" s="60" t="n">
        <x:f>E8/D8</x:f>
        <x:v>0.16184971098265896</x:v>
      </x:c>
      <x:c r="H8" s="61" t="n">
        <x:f>K8/D8/'Gia dinh'!$B$5</x:f>
        <x:v>10</x:v>
      </x:c>
      <x:c r="I8" s="60" t="n">
        <x:f>H8/'Gia dinh'!$B$6</x:f>
        <x:v>0.14285714285714285</x:v>
      </x:c>
      <x:c r="J8" s="60" t="n">
        <x:f>G8-I8</x:f>
        <x:v>0.018992568125516113</x:v>
      </x:c>
      <x:c r="K8" s="62" t="n">
        <x:v>1730000</x:v>
      </x:c>
      <x:c r="L8" s="62" t="n">
        <x:f>E8*'Gia dinh'!$B$7</x:f>
        <x:v>1960000</x:v>
      </x:c>
      <x:c r="M8" s="65" t="n">
        <x:f>L8-K8</x:f>
        <x:v>230000</x:v>
      </x:c>
      <x:c r="N8" s="63" t="n">
        <x:f>M8/K8</x:f>
        <x:v>0.1329479768786127</x:v>
      </x:c>
      <x:c r="O8" s="57" t="n">
        <x:v>2</x:v>
      </x:c>
      <x:c r="P8" s="57" t="n">
        <x:v>16</x:v>
      </x:c>
      <x:c r="Q8" s="58" t="str">
        <x:f>IF(M8&lt;=0,"Loại",IF(AND(J8&gt;=0.03,P8&lt;=8),"Khuyến nghị","Theo dõi"))</x:f>
        <x:v>Theo dõi</x:v>
      </x:c>
    </x:row>
    <x:row r="9">
      <x:c r="A9" s="57" t="n">
        <x:v>8</x:v>
      </x:c>
      <x:c r="B9" s="58" t="str">
        <x:v>chainSmallFirst</x:v>
      </x:c>
      <x:c r="C9" s="59" t="n">
        <x:v>60</x:v>
      </x:c>
      <x:c r="D9" s="59" t="n">
        <x:v>173</x:v>
      </x:c>
      <x:c r="E9" s="59" t="n">
        <x:v>98</x:v>
      </x:c>
      <x:c r="F9" s="59" t="n">
        <x:v>75</x:v>
      </x:c>
      <x:c r="G9" s="60" t="n">
        <x:f>E9/D9</x:f>
        <x:v>0.5664739884393064</x:v>
      </x:c>
      <x:c r="H9" s="61" t="n">
        <x:f>K9/D9/'Gia dinh'!$B$5</x:f>
        <x:v>38.32947976878613</x:v>
      </x:c>
      <x:c r="I9" s="60" t="n">
        <x:f>H9/'Gia dinh'!$B$6</x:f>
        <x:v>0.5475639966969447</x:v>
      </x:c>
      <x:c r="J9" s="60" t="n">
        <x:f>G9-I9</x:f>
        <x:v>0.018909991742361743</x:v>
      </x:c>
      <x:c r="K9" s="62" t="n">
        <x:v>6631000</x:v>
      </x:c>
      <x:c r="L9" s="62" t="n">
        <x:f>E9*'Gia dinh'!$B$7</x:f>
        <x:v>6860000</x:v>
      </x:c>
      <x:c r="M9" s="65" t="n">
        <x:f>L9-K9</x:f>
        <x:v>229000</x:v>
      </x:c>
      <x:c r="N9" s="63" t="n">
        <x:f>M9/K9</x:f>
        <x:v>0.0345347609711959</x:v>
      </x:c>
      <x:c r="O9" s="57" t="n">
        <x:v>9</x:v>
      </x:c>
      <x:c r="P9" s="57" t="n">
        <x:v>5</x:v>
      </x:c>
      <x:c r="Q9" s="58" t="str">
        <x:f>IF(M9&lt;=0,"Loại",IF(AND(J9&gt;=0.03,P9&lt;=8),"Khuyến nghị","Theo dõi"))</x:f>
        <x:v>Theo dõi</x:v>
      </x:c>
    </x:row>
    <x:row r="10">
      <x:c r="A10" s="57" t="n">
        <x:v>9</x:v>
      </x:c>
      <x:c r="B10" s="58" t="str">
        <x:v>numberConsensusRisk</x:v>
      </x:c>
      <x:c r="C10" s="59" t="n">
        <x:v>90</x:v>
      </x:c>
      <x:c r="D10" s="59" t="n">
        <x:v>173</x:v>
      </x:c>
      <x:c r="E10" s="59" t="n">
        <x:v>27</x:v>
      </x:c>
      <x:c r="F10" s="59" t="n">
        <x:v>146</x:v>
      </x:c>
      <x:c r="G10" s="60" t="n">
        <x:f>E10/D10</x:f>
        <x:v>0.15606936416184972</x:v>
      </x:c>
      <x:c r="H10" s="61" t="n">
        <x:f>K10/D10/'Gia dinh'!$B$5</x:f>
        <x:v>10</x:v>
      </x:c>
      <x:c r="I10" s="60" t="n">
        <x:f>H10/'Gia dinh'!$B$6</x:f>
        <x:v>0.14285714285714285</x:v>
      </x:c>
      <x:c r="J10" s="60" t="n">
        <x:f>G10-I10</x:f>
        <x:v>0.013212221304706867</x:v>
      </x:c>
      <x:c r="K10" s="62" t="n">
        <x:v>1730000</x:v>
      </x:c>
      <x:c r="L10" s="62" t="n">
        <x:f>E10*'Gia dinh'!$B$7</x:f>
        <x:v>1890000</x:v>
      </x:c>
      <x:c r="M10" s="65" t="n">
        <x:f>L10-K10</x:f>
        <x:v>160000</x:v>
      </x:c>
      <x:c r="N10" s="63" t="n">
        <x:f>M10/K10</x:f>
        <x:v>0.09248554913294797</x:v>
      </x:c>
      <x:c r="O10" s="57" t="n">
        <x:v>2</x:v>
      </x:c>
      <x:c r="P10" s="57" t="n">
        <x:v>16</x:v>
      </x:c>
      <x:c r="Q10" s="58" t="str">
        <x:f>IF(M10&lt;=0,"Loại",IF(AND(J10&gt;=0.03,P10&lt;=8),"Khuyến nghị","Theo dõi"))</x:f>
        <x:v>Theo dõi</x:v>
      </x:c>
    </x:row>
    <x:row r="11">
      <x:c r="A11" s="57" t="n">
        <x:v>10</x:v>
      </x:c>
      <x:c r="B11" s="58" t="str">
        <x:v>chainSmallFirst</x:v>
      </x:c>
      <x:c r="C11" s="59" t="n">
        <x:v>85</x:v>
      </x:c>
      <x:c r="D11" s="59" t="n">
        <x:v>173</x:v>
      </x:c>
      <x:c r="E11" s="59" t="n">
        <x:v>34</x:v>
      </x:c>
      <x:c r="F11" s="59" t="n">
        <x:v>139</x:v>
      </x:c>
      <x:c r="G11" s="60" t="n">
        <x:f>E11/D11</x:f>
        <x:v>0.19653179190751446</x:v>
      </x:c>
      <x:c r="H11" s="61" t="n">
        <x:f>K11/D11/'Gia dinh'!$B$5</x:f>
        <x:v>13.693641618497109</x:v>
      </x:c>
      <x:c r="I11" s="60" t="n">
        <x:f>H11/'Gia dinh'!$B$6</x:f>
        <x:v>0.19562345169281584</x:v>
      </x:c>
      <x:c r="J11" s="60" t="n">
        <x:f>G11-I11</x:f>
        <x:v>0.0009083402146986275</x:v>
      </x:c>
      <x:c r="K11" s="62" t="n">
        <x:v>2369000</x:v>
      </x:c>
      <x:c r="L11" s="62" t="n">
        <x:f>E11*'Gia dinh'!$B$7</x:f>
        <x:v>2380000</x:v>
      </x:c>
      <x:c r="M11" s="65" t="n">
        <x:f>L11-K11</x:f>
        <x:v>11000</x:v>
      </x:c>
      <x:c r="N11" s="63" t="n">
        <x:f>M11/K11</x:f>
        <x:v>0.004643309413254538</x:v>
      </x:c>
      <x:c r="O11" s="57" t="n">
        <x:v>4</x:v>
      </x:c>
      <x:c r="P11" s="57" t="n">
        <x:v>14</x:v>
      </x:c>
      <x:c r="Q11" s="58" t="str">
        <x:f>IF(M11&lt;=0,"Loại",IF(AND(J11&gt;=0.03,P11&lt;=8),"Khuyến nghị","Theo dõi"))</x:f>
        <x:v>Theo dõi</x:v>
      </x:c>
    </x:row>
    <x:row r="12">
      <x:c r="A12" s="66" t="n">
        <x:v>11</x:v>
      </x:c>
      <x:c r="B12" s="67" t="str">
        <x:v>numberConsensusRisk</x:v>
      </x:c>
      <x:c r="C12" s="68" t="n">
        <x:v>85</x:v>
      </x:c>
      <x:c r="D12" s="68" t="n">
        <x:v>173</x:v>
      </x:c>
      <x:c r="E12" s="68" t="n">
        <x:v>36</x:v>
      </x:c>
      <x:c r="F12" s="68" t="n">
        <x:v>137</x:v>
      </x:c>
      <x:c r="G12" s="69" t="n">
        <x:f>E12/D12</x:f>
        <x:v>0.20809248554913296</x:v>
      </x:c>
      <x:c r="H12" s="70" t="n">
        <x:f>K12/D12/'Gia dinh'!$B$5</x:f>
        <x:v>15</x:v>
      </x:c>
      <x:c r="I12" s="69" t="n">
        <x:f>H12/'Gia dinh'!$B$6</x:f>
        <x:v>0.21428571428571427</x:v>
      </x:c>
      <x:c r="J12" s="69" t="n">
        <x:f>G12-I12</x:f>
        <x:v>-0.006193228736581319</x:v>
      </x:c>
      <x:c r="K12" s="71" t="n">
        <x:v>2595000</x:v>
      </x:c>
      <x:c r="L12" s="71" t="n">
        <x:f>E12*'Gia dinh'!$B$7</x:f>
        <x:v>2520000</x:v>
      </x:c>
      <x:c r="M12" s="80" t="n">
        <x:f>L12-K12</x:f>
        <x:v>-75000</x:v>
      </x:c>
      <x:c r="N12" s="72" t="n">
        <x:f>M12/K12</x:f>
        <x:v>-0.028901734104046242</x:v>
      </x:c>
      <x:c r="O12" s="66" t="n">
        <x:v>3</x:v>
      </x:c>
      <x:c r="P12" s="66" t="n">
        <x:v>14</x:v>
      </x:c>
      <x:c r="Q12" s="67" t="str">
        <x:f>IF(M12&lt;=0,"Loại",IF(AND(J12&gt;=0.03,P12&lt;=8),"Khuyến nghị","Theo dõi"))</x:f>
        <x:v>Loại</x:v>
      </x:c>
    </x:row>
    <x:row r="13">
      <x:c r="A13" s="66" t="n">
        <x:v>12</x:v>
      </x:c>
      <x:c r="B13" s="67" t="str">
        <x:v>chainSmallFirst</x:v>
      </x:c>
      <x:c r="C13" s="68" t="n">
        <x:v>50</x:v>
      </x:c>
      <x:c r="D13" s="68" t="n">
        <x:v>173</x:v>
      </x:c>
      <x:c r="E13" s="68" t="n">
        <x:v>118</x:v>
      </x:c>
      <x:c r="F13" s="68" t="n">
        <x:v>55</x:v>
      </x:c>
      <x:c r="G13" s="69" t="n">
        <x:f>E13/D13</x:f>
        <x:v>0.6820809248554913</x:v>
      </x:c>
      <x:c r="H13" s="70" t="n">
        <x:f>K13/D13/'Gia dinh'!$B$5</x:f>
        <x:v>48.34104046242774</x:v>
      </x:c>
      <x:c r="I13" s="69" t="n">
        <x:f>H13/'Gia dinh'!$B$6</x:f>
        <x:v>0.6905862923203964</x:v>
      </x:c>
      <x:c r="J13" s="69" t="n">
        <x:f>G13-I13</x:f>
        <x:v>-0.008505367464905045</x:v>
      </x:c>
      <x:c r="K13" s="71" t="n">
        <x:v>8363000</x:v>
      </x:c>
      <x:c r="L13" s="71" t="n">
        <x:f>E13*'Gia dinh'!$B$7</x:f>
        <x:v>8260000</x:v>
      </x:c>
      <x:c r="M13" s="80" t="n">
        <x:f>L13-K13</x:f>
        <x:v>-103000</x:v>
      </x:c>
      <x:c r="N13" s="72" t="n">
        <x:f>M13/K13</x:f>
        <x:v>-0.012316154490015545</x:v>
      </x:c>
      <x:c r="O13" s="66" t="n">
        <x:v>12</x:v>
      </x:c>
      <x:c r="P13" s="66" t="n">
        <x:v>3</x:v>
      </x:c>
      <x:c r="Q13" s="67" t="str">
        <x:f>IF(M13&lt;=0,"Loại",IF(AND(J13&gt;=0.03,P13&lt;=8),"Khuyến nghị","Theo dõi"))</x:f>
        <x:v>Loại</x:v>
      </x:c>
    </x:row>
    <x:row r="14">
      <x:c r="A14" s="66" t="n">
        <x:v>13</x:v>
      </x:c>
      <x:c r="B14" s="67" t="str">
        <x:v>numberAvgRisk</x:v>
      </x:c>
      <x:c r="C14" s="68" t="n">
        <x:v>85</x:v>
      </x:c>
      <x:c r="D14" s="68" t="n">
        <x:v>173</x:v>
      </x:c>
      <x:c r="E14" s="68" t="n">
        <x:v>35</x:v>
      </x:c>
      <x:c r="F14" s="68" t="n">
        <x:v>138</x:v>
      </x:c>
      <x:c r="G14" s="69" t="n">
        <x:f>E14/D14</x:f>
        <x:v>0.2023121387283237</x:v>
      </x:c>
      <x:c r="H14" s="70" t="n">
        <x:f>K14/D14/'Gia dinh'!$B$5</x:f>
        <x:v>15</x:v>
      </x:c>
      <x:c r="I14" s="69" t="n">
        <x:f>H14/'Gia dinh'!$B$6</x:f>
        <x:v>0.21428571428571427</x:v>
      </x:c>
      <x:c r="J14" s="69" t="n">
        <x:f>G14-I14</x:f>
        <x:v>-0.011973575557390564</x:v>
      </x:c>
      <x:c r="K14" s="71" t="n">
        <x:v>2595000</x:v>
      </x:c>
      <x:c r="L14" s="71" t="n">
        <x:f>E14*'Gia dinh'!$B$7</x:f>
        <x:v>2450000</x:v>
      </x:c>
      <x:c r="M14" s="80" t="n">
        <x:f>L14-K14</x:f>
        <x:v>-145000</x:v>
      </x:c>
      <x:c r="N14" s="72" t="n">
        <x:f>M14/K14</x:f>
        <x:v>-0.055876685934489405</x:v>
      </x:c>
      <x:c r="O14" s="66" t="n">
        <x:v>2</x:v>
      </x:c>
      <x:c r="P14" s="66" t="n">
        <x:v>14</x:v>
      </x:c>
      <x:c r="Q14" s="67" t="str">
        <x:f>IF(M14&lt;=0,"Loại",IF(AND(J14&gt;=0.03,P14&lt;=8),"Khuyến nghị","Theo dõi"))</x:f>
        <x:v>Loại</x:v>
      </x:c>
    </x:row>
    <x:row r="15">
      <x:c r="A15" s="66" t="n">
        <x:v>14</x:v>
      </x:c>
      <x:c r="B15" s="67" t="str">
        <x:v>activeOnlyAvgRisk</x:v>
      </x:c>
      <x:c r="C15" s="68" t="n">
        <x:v>85</x:v>
      </x:c>
      <x:c r="D15" s="68" t="n">
        <x:v>173</x:v>
      </x:c>
      <x:c r="E15" s="68" t="n">
        <x:v>35</x:v>
      </x:c>
      <x:c r="F15" s="68" t="n">
        <x:v>138</x:v>
      </x:c>
      <x:c r="G15" s="69" t="n">
        <x:f>E15/D15</x:f>
        <x:v>0.2023121387283237</x:v>
      </x:c>
      <x:c r="H15" s="70" t="n">
        <x:f>K15/D15/'Gia dinh'!$B$5</x:f>
        <x:v>15</x:v>
      </x:c>
      <x:c r="I15" s="69" t="n">
        <x:f>H15/'Gia dinh'!$B$6</x:f>
        <x:v>0.21428571428571427</x:v>
      </x:c>
      <x:c r="J15" s="69" t="n">
        <x:f>G15-I15</x:f>
        <x:v>-0.011973575557390564</x:v>
      </x:c>
      <x:c r="K15" s="71" t="n">
        <x:v>2595000</x:v>
      </x:c>
      <x:c r="L15" s="71" t="n">
        <x:f>E15*'Gia dinh'!$B$7</x:f>
        <x:v>2450000</x:v>
      </x:c>
      <x:c r="M15" s="80" t="n">
        <x:f>L15-K15</x:f>
        <x:v>-145000</x:v>
      </x:c>
      <x:c r="N15" s="72" t="n">
        <x:f>M15/K15</x:f>
        <x:v>-0.055876685934489405</x:v>
      </x:c>
      <x:c r="O15" s="66" t="n">
        <x:v>3</x:v>
      </x:c>
      <x:c r="P15" s="66" t="n">
        <x:v>13</x:v>
      </x:c>
      <x:c r="Q15" s="67" t="str">
        <x:f>IF(M15&lt;=0,"Loại",IF(AND(J15&gt;=0.03,P15&lt;=8),"Khuyến nghị","Theo dõi"))</x:f>
        <x:v>Loại</x:v>
      </x:c>
    </x:row>
    <x:row r="16">
      <x:c r="A16" s="66" t="n">
        <x:v>15</x:v>
      </x:c>
      <x:c r="B16" s="67" t="str">
        <x:v>numberWeightedRisk</x:v>
      </x:c>
      <x:c r="C16" s="68" t="n">
        <x:v>85</x:v>
      </x:c>
      <x:c r="D16" s="68" t="n">
        <x:v>173</x:v>
      </x:c>
      <x:c r="E16" s="68" t="n">
        <x:v>34</x:v>
      </x:c>
      <x:c r="F16" s="68" t="n">
        <x:v>139</x:v>
      </x:c>
      <x:c r="G16" s="69" t="n">
        <x:f>E16/D16</x:f>
        <x:v>0.19653179190751446</x:v>
      </x:c>
      <x:c r="H16" s="70" t="n">
        <x:f>K16/D16/'Gia dinh'!$B$5</x:f>
        <x:v>15</x:v>
      </x:c>
      <x:c r="I16" s="69" t="n">
        <x:f>H16/'Gia dinh'!$B$6</x:f>
        <x:v>0.21428571428571427</x:v>
      </x:c>
      <x:c r="J16" s="69" t="n">
        <x:f>G16-I16</x:f>
        <x:v>-0.01775392237819981</x:v>
      </x:c>
      <x:c r="K16" s="71" t="n">
        <x:v>2595000</x:v>
      </x:c>
      <x:c r="L16" s="71" t="n">
        <x:f>E16*'Gia dinh'!$B$7</x:f>
        <x:v>2380000</x:v>
      </x:c>
      <x:c r="M16" s="80" t="n">
        <x:f>L16-K16</x:f>
        <x:v>-215000</x:v>
      </x:c>
      <x:c r="N16" s="72" t="n">
        <x:f>M16/K16</x:f>
        <x:v>-0.08285163776493257</x:v>
      </x:c>
      <x:c r="O16" s="66" t="n">
        <x:v>3</x:v>
      </x:c>
      <x:c r="P16" s="66" t="n">
        <x:v>15</x:v>
      </x:c>
      <x:c r="Q16" s="67" t="str">
        <x:f>IF(M16&lt;=0,"Loại",IF(AND(J16&gt;=0.03,P16&lt;=8),"Khuyến nghị","Theo dõi"))</x:f>
        <x:v>Loại</x:v>
      </x:c>
    </x:row>
    <x:row r="17">
      <x:c r="A17" s="66" t="n">
        <x:v>16</x:v>
      </x:c>
      <x:c r="B17" s="67" t="str">
        <x:v>chainSmallFirst</x:v>
      </x:c>
      <x:c r="C17" s="68" t="n">
        <x:v>90</x:v>
      </x:c>
      <x:c r="D17" s="68" t="n">
        <x:v>173</x:v>
      </x:c>
      <x:c r="E17" s="68" t="n">
        <x:v>19</x:v>
      </x:c>
      <x:c r="F17" s="68" t="n">
        <x:v>154</x:v>
      </x:c>
      <x:c r="G17" s="69" t="n">
        <x:f>E17/D17</x:f>
        <x:v>0.10982658959537572</x:v>
      </x:c>
      <x:c r="H17" s="70" t="n">
        <x:f>K17/D17/'Gia dinh'!$B$5</x:f>
        <x:v>9</x:v>
      </x:c>
      <x:c r="I17" s="69" t="n">
        <x:f>H17/'Gia dinh'!$B$6</x:f>
        <x:v>0.12857142857142856</x:v>
      </x:c>
      <x:c r="J17" s="69" t="n">
        <x:f>G17-I17</x:f>
        <x:v>-0.018744838976052836</x:v>
      </x:c>
      <x:c r="K17" s="71" t="n">
        <x:v>1557000</x:v>
      </x:c>
      <x:c r="L17" s="71" t="n">
        <x:f>E17*'Gia dinh'!$B$7</x:f>
        <x:v>1330000</x:v>
      </x:c>
      <x:c r="M17" s="80" t="n">
        <x:f>L17-K17</x:f>
        <x:v>-227000</x:v>
      </x:c>
      <x:c r="N17" s="72" t="n">
        <x:f>M17/K17</x:f>
        <x:v>-0.1457931920359666</x:v>
      </x:c>
      <x:c r="O17" s="66" t="n">
        <x:v>2</x:v>
      </x:c>
      <x:c r="P17" s="66" t="n">
        <x:v>45</x:v>
      </x:c>
      <x:c r="Q17" s="67" t="str">
        <x:f>IF(M17&lt;=0,"Loại",IF(AND(J17&gt;=0.03,P17&lt;=8),"Khuyến nghị","Theo dõi"))</x:f>
        <x:v>Loại</x:v>
      </x:c>
    </x:row>
    <x:row r="18">
      <x:c r="A18" s="66" t="n">
        <x:v>17</x:v>
      </x:c>
      <x:c r="B18" s="67" t="str">
        <x:v>chainTier</x:v>
      </x:c>
      <x:c r="C18" s="68" t="n">
        <x:v>90</x:v>
      </x:c>
      <x:c r="D18" s="68" t="n">
        <x:v>173</x:v>
      </x:c>
      <x:c r="E18" s="68" t="n">
        <x:v>17</x:v>
      </x:c>
      <x:c r="F18" s="68" t="n">
        <x:v>156</x:v>
      </x:c>
      <x:c r="G18" s="69" t="n">
        <x:f>E18/D18</x:f>
        <x:v>0.09826589595375723</x:v>
      </x:c>
      <x:c r="H18" s="70" t="n">
        <x:f>K18/D18/'Gia dinh'!$B$5</x:f>
        <x:v>8.335260115606935</x:v>
      </x:c>
      <x:c r="I18" s="69" t="n">
        <x:f>H18/'Gia dinh'!$B$6</x:f>
        <x:v>0.1190751445086705</x:v>
      </x:c>
      <x:c r="J18" s="69" t="n">
        <x:f>G18-I18</x:f>
        <x:v>-0.02080924855491327</x:v>
      </x:c>
      <x:c r="K18" s="71" t="n">
        <x:v>1442000</x:v>
      </x:c>
      <x:c r="L18" s="71" t="n">
        <x:f>E18*'Gia dinh'!$B$7</x:f>
        <x:v>1190000</x:v>
      </x:c>
      <x:c r="M18" s="80" t="n">
        <x:f>L18-K18</x:f>
        <x:v>-252000</x:v>
      </x:c>
      <x:c r="N18" s="72" t="n">
        <x:f>M18/K18</x:f>
        <x:v>-0.17475728155339806</x:v>
      </x:c>
      <x:c r="O18" s="66" t="n">
        <x:v>2</x:v>
      </x:c>
      <x:c r="P18" s="66" t="n">
        <x:v>26</x:v>
      </x:c>
      <x:c r="Q18" s="67" t="str">
        <x:f>IF(M18&lt;=0,"Loại",IF(AND(J18&gt;=0.03,P18&lt;=8),"Khuyến nghị","Theo dõi"))</x:f>
        <x:v>Loại</x:v>
      </x:c>
    </x:row>
    <x:row r="19">
      <x:c r="A19" s="66" t="n">
        <x:v>18</x:v>
      </x:c>
      <x:c r="B19" s="67" t="str">
        <x:v>activeOnlyAvgRisk</x:v>
      </x:c>
      <x:c r="C19" s="68" t="n">
        <x:v>90</x:v>
      </x:c>
      <x:c r="D19" s="68" t="n">
        <x:v>173</x:v>
      </x:c>
      <x:c r="E19" s="68" t="n">
        <x:v>21</x:v>
      </x:c>
      <x:c r="F19" s="68" t="n">
        <x:v>152</x:v>
      </x:c>
      <x:c r="G19" s="69" t="n">
        <x:f>E19/D19</x:f>
        <x:v>0.12138728323699421</x:v>
      </x:c>
      <x:c r="H19" s="70" t="n">
        <x:f>K19/D19/'Gia dinh'!$B$5</x:f>
        <x:v>10</x:v>
      </x:c>
      <x:c r="I19" s="69" t="n">
        <x:f>H19/'Gia dinh'!$B$6</x:f>
        <x:v>0.14285714285714285</x:v>
      </x:c>
      <x:c r="J19" s="69" t="n">
        <x:f>G19-I19</x:f>
        <x:v>-0.021469859620148635</x:v>
      </x:c>
      <x:c r="K19" s="71" t="n">
        <x:v>1730000</x:v>
      </x:c>
      <x:c r="L19" s="71" t="n">
        <x:f>E19*'Gia dinh'!$B$7</x:f>
        <x:v>1470000</x:v>
      </x:c>
      <x:c r="M19" s="80" t="n">
        <x:f>L19-K19</x:f>
        <x:v>-260000</x:v>
      </x:c>
      <x:c r="N19" s="72" t="n">
        <x:f>M19/K19</x:f>
        <x:v>-0.15028901734104047</x:v>
      </x:c>
      <x:c r="O19" s="66" t="n">
        <x:v>2</x:v>
      </x:c>
      <x:c r="P19" s="66" t="n">
        <x:v>24</x:v>
      </x:c>
      <x:c r="Q19" s="67" t="str">
        <x:f>IF(M19&lt;=0,"Loại",IF(AND(J19&gt;=0.03,P19&lt;=8),"Khuyến nghị","Theo dõi"))</x:f>
        <x:v>Loại</x:v>
      </x:c>
    </x:row>
    <x:row r="20">
      <x:c r="A20" s="66" t="n">
        <x:v>19</x:v>
      </x:c>
      <x:c r="B20" s="67" t="str">
        <x:v>numberConsensusRisk</x:v>
      </x:c>
      <x:c r="C20" s="68" t="n">
        <x:v>80</x:v>
      </x:c>
      <x:c r="D20" s="68" t="n">
        <x:v>173</x:v>
      </x:c>
      <x:c r="E20" s="68" t="n">
        <x:v>45</x:v>
      </x:c>
      <x:c r="F20" s="68" t="n">
        <x:v>128</x:v>
      </x:c>
      <x:c r="G20" s="69" t="n">
        <x:f>E20/D20</x:f>
        <x:v>0.26011560693641617</x:v>
      </x:c>
      <x:c r="H20" s="70" t="n">
        <x:f>K20/D20/'Gia dinh'!$B$5</x:f>
        <x:v>20</x:v>
      </x:c>
      <x:c r="I20" s="69" t="n">
        <x:f>H20/'Gia dinh'!$B$6</x:f>
        <x:v>0.2857142857142857</x:v>
      </x:c>
      <x:c r="J20" s="69" t="n">
        <x:f>G20-I20</x:f>
        <x:v>-0.025598678777869532</x:v>
      </x:c>
      <x:c r="K20" s="71" t="n">
        <x:v>3460000</x:v>
      </x:c>
      <x:c r="L20" s="71" t="n">
        <x:f>E20*'Gia dinh'!$B$7</x:f>
        <x:v>3150000</x:v>
      </x:c>
      <x:c r="M20" s="80" t="n">
        <x:f>L20-K20</x:f>
        <x:v>-310000</x:v>
      </x:c>
      <x:c r="N20" s="72" t="n">
        <x:f>M20/K20</x:f>
        <x:v>-0.08959537572254335</x:v>
      </x:c>
      <x:c r="O20" s="66" t="n">
        <x:v>4</x:v>
      </x:c>
      <x:c r="P20" s="66" t="n">
        <x:v>12</x:v>
      </x:c>
      <x:c r="Q20" s="67" t="str">
        <x:f>IF(M20&lt;=0,"Loại",IF(AND(J20&gt;=0.03,P20&lt;=8),"Khuyến nghị","Theo dõi"))</x:f>
        <x:v>Loại</x:v>
      </x:c>
    </x:row>
    <x:row r="21">
      <x:c r="A21" s="66" t="n">
        <x:v>20</x:v>
      </x:c>
      <x:c r="B21" s="67" t="str">
        <x:v>chainFreqFirst</x:v>
      </x:c>
      <x:c r="C21" s="68" t="n">
        <x:v>90</x:v>
      </x:c>
      <x:c r="D21" s="68" t="n">
        <x:v>173</x:v>
      </x:c>
      <x:c r="E21" s="68" t="n">
        <x:v>15</x:v>
      </x:c>
      <x:c r="F21" s="68" t="n">
        <x:v>158</x:v>
      </x:c>
      <x:c r="G21" s="69" t="n">
        <x:f>E21/D21</x:f>
        <x:v>0.08670520231213873</x:v>
      </x:c>
      <x:c r="H21" s="70" t="n">
        <x:f>K21/D21/'Gia dinh'!$B$5</x:f>
        <x:v>7.872832369942196</x:v>
      </x:c>
      <x:c r="I21" s="69" t="n">
        <x:f>H21/'Gia dinh'!$B$6</x:f>
        <x:v>0.11246903385631708</x:v>
      </x:c>
      <x:c r="J21" s="69" t="n">
        <x:f>G21-I21</x:f>
        <x:v>-0.025763831544178356</x:v>
      </x:c>
      <x:c r="K21" s="71" t="n">
        <x:v>1362000</x:v>
      </x:c>
      <x:c r="L21" s="71" t="n">
        <x:f>E21*'Gia dinh'!$B$7</x:f>
        <x:v>1050000</x:v>
      </x:c>
      <x:c r="M21" s="80" t="n">
        <x:f>L21-K21</x:f>
        <x:v>-312000</x:v>
      </x:c>
      <x:c r="N21" s="72" t="n">
        <x:f>M21/K21</x:f>
        <x:v>-0.2290748898678414</x:v>
      </x:c>
      <x:c r="O21" s="66" t="n">
        <x:v>2</x:v>
      </x:c>
      <x:c r="P21" s="66" t="n">
        <x:v>30</x:v>
      </x:c>
      <x:c r="Q21" s="67" t="str">
        <x:f>IF(M21&lt;=0,"Loại",IF(AND(J21&gt;=0.03,P21&lt;=8),"Khuyến nghị","Theo dõi"))</x:f>
        <x:v>Loại</x:v>
      </x:c>
    </x:row>
    <x:row r="22">
      <x:c r="A22" s="66" t="n">
        <x:v>21</x:v>
      </x:c>
      <x:c r="B22" s="67" t="str">
        <x:v>chainRiskFirst</x:v>
      </x:c>
      <x:c r="C22" s="68" t="n">
        <x:v>90</x:v>
      </x:c>
      <x:c r="D22" s="68" t="n">
        <x:v>173</x:v>
      </x:c>
      <x:c r="E22" s="68" t="n">
        <x:v>15</x:v>
      </x:c>
      <x:c r="F22" s="68" t="n">
        <x:v>158</x:v>
      </x:c>
      <x:c r="G22" s="69" t="n">
        <x:f>E22/D22</x:f>
        <x:v>0.08670520231213873</x:v>
      </x:c>
      <x:c r="H22" s="70" t="n">
        <x:f>K22/D22/'Gia dinh'!$B$5</x:f>
        <x:v>7.872832369942196</x:v>
      </x:c>
      <x:c r="I22" s="69" t="n">
        <x:f>H22/'Gia dinh'!$B$6</x:f>
        <x:v>0.11246903385631708</x:v>
      </x:c>
      <x:c r="J22" s="69" t="n">
        <x:f>G22-I22</x:f>
        <x:v>-0.025763831544178356</x:v>
      </x:c>
      <x:c r="K22" s="71" t="n">
        <x:v>1362000</x:v>
      </x:c>
      <x:c r="L22" s="71" t="n">
        <x:f>E22*'Gia dinh'!$B$7</x:f>
        <x:v>1050000</x:v>
      </x:c>
      <x:c r="M22" s="80" t="n">
        <x:f>L22-K22</x:f>
        <x:v>-312000</x:v>
      </x:c>
      <x:c r="N22" s="72" t="n">
        <x:f>M22/K22</x:f>
        <x:v>-0.2290748898678414</x:v>
      </x:c>
      <x:c r="O22" s="66" t="n">
        <x:v>2</x:v>
      </x:c>
      <x:c r="P22" s="66" t="n">
        <x:v>30</x:v>
      </x:c>
      <x:c r="Q22" s="67" t="str">
        <x:f>IF(M22&lt;=0,"Loại",IF(AND(J22&gt;=0.03,P22&lt;=8),"Khuyến nghị","Theo dõi"))</x:f>
        <x:v>Loại</x:v>
      </x:c>
    </x:row>
    <x:row r="23">
      <x:c r="A23" s="66" t="n">
        <x:v>22</x:v>
      </x:c>
      <x:c r="B23" s="67" t="str">
        <x:v>numberAvgRisk</x:v>
      </x:c>
      <x:c r="C23" s="68" t="n">
        <x:v>80</x:v>
      </x:c>
      <x:c r="D23" s="68" t="n">
        <x:v>173</x:v>
      </x:c>
      <x:c r="E23" s="68" t="n">
        <x:v>44</x:v>
      </x:c>
      <x:c r="F23" s="68" t="n">
        <x:v>129</x:v>
      </x:c>
      <x:c r="G23" s="69" t="n">
        <x:f>E23/D23</x:f>
        <x:v>0.2543352601156069</x:v>
      </x:c>
      <x:c r="H23" s="70" t="n">
        <x:f>K23/D23/'Gia dinh'!$B$5</x:f>
        <x:v>20</x:v>
      </x:c>
      <x:c r="I23" s="69" t="n">
        <x:f>H23/'Gia dinh'!$B$6</x:f>
        <x:v>0.2857142857142857</x:v>
      </x:c>
      <x:c r="J23" s="69" t="n">
        <x:f>G23-I23</x:f>
        <x:v>-0.03137902559867878</x:v>
      </x:c>
      <x:c r="K23" s="71" t="n">
        <x:v>3460000</x:v>
      </x:c>
      <x:c r="L23" s="71" t="n">
        <x:f>E23*'Gia dinh'!$B$7</x:f>
        <x:v>3080000</x:v>
      </x:c>
      <x:c r="M23" s="80" t="n">
        <x:f>L23-K23</x:f>
        <x:v>-380000</x:v>
      </x:c>
      <x:c r="N23" s="72" t="n">
        <x:f>M23/K23</x:f>
        <x:v>-0.10982658959537572</x:v>
      </x:c>
      <x:c r="O23" s="66" t="n">
        <x:v>4</x:v>
      </x:c>
      <x:c r="P23" s="66" t="n">
        <x:v>12</x:v>
      </x:c>
      <x:c r="Q23" s="67" t="str">
        <x:f>IF(M23&lt;=0,"Loại",IF(AND(J23&gt;=0.03,P23&lt;=8),"Khuyến nghị","Theo dõi"))</x:f>
        <x:v>Loại</x:v>
      </x:c>
    </x:row>
    <x:row r="24">
      <x:c r="A24" s="66" t="n">
        <x:v>23</x:v>
      </x:c>
      <x:c r="B24" s="67" t="str">
        <x:v>numberWeightedRisk</x:v>
      </x:c>
      <x:c r="C24" s="68" t="n">
        <x:v>80</x:v>
      </x:c>
      <x:c r="D24" s="68" t="n">
        <x:v>173</x:v>
      </x:c>
      <x:c r="E24" s="68" t="n">
        <x:v>44</x:v>
      </x:c>
      <x:c r="F24" s="68" t="n">
        <x:v>129</x:v>
      </x:c>
      <x:c r="G24" s="69" t="n">
        <x:f>E24/D24</x:f>
        <x:v>0.2543352601156069</x:v>
      </x:c>
      <x:c r="H24" s="70" t="n">
        <x:f>K24/D24/'Gia dinh'!$B$5</x:f>
        <x:v>20</x:v>
      </x:c>
      <x:c r="I24" s="69" t="n">
        <x:f>H24/'Gia dinh'!$B$6</x:f>
        <x:v>0.2857142857142857</x:v>
      </x:c>
      <x:c r="J24" s="69" t="n">
        <x:f>G24-I24</x:f>
        <x:v>-0.03137902559867878</x:v>
      </x:c>
      <x:c r="K24" s="71" t="n">
        <x:v>3460000</x:v>
      </x:c>
      <x:c r="L24" s="71" t="n">
        <x:f>E24*'Gia dinh'!$B$7</x:f>
        <x:v>3080000</x:v>
      </x:c>
      <x:c r="M24" s="80" t="n">
        <x:f>L24-K24</x:f>
        <x:v>-380000</x:v>
      </x:c>
      <x:c r="N24" s="72" t="n">
        <x:f>M24/K24</x:f>
        <x:v>-0.10982658959537572</x:v>
      </x:c>
      <x:c r="O24" s="66" t="n">
        <x:v>4</x:v>
      </x:c>
      <x:c r="P24" s="66" t="n">
        <x:v>13</x:v>
      </x:c>
      <x:c r="Q24" s="67" t="str">
        <x:f>IF(M24&lt;=0,"Loại",IF(AND(J24&gt;=0.03,P24&lt;=8),"Khuyến nghị","Theo dõi"))</x:f>
        <x:v>Loại</x:v>
      </x:c>
    </x:row>
    <x:row r="25">
      <x:c r="A25" s="66" t="n">
        <x:v>24</x:v>
      </x:c>
      <x:c r="B25" s="67" t="str">
        <x:v>activeOnlyAvgRisk</x:v>
      </x:c>
      <x:c r="C25" s="68" t="n">
        <x:v>80</x:v>
      </x:c>
      <x:c r="D25" s="68" t="n">
        <x:v>173</x:v>
      </x:c>
      <x:c r="E25" s="68" t="n">
        <x:v>42</x:v>
      </x:c>
      <x:c r="F25" s="68" t="n">
        <x:v>131</x:v>
      </x:c>
      <x:c r="G25" s="69" t="n">
        <x:f>E25/D25</x:f>
        <x:v>0.24277456647398843</x:v>
      </x:c>
      <x:c r="H25" s="70" t="n">
        <x:f>K25/D25/'Gia dinh'!$B$5</x:f>
        <x:v>20</x:v>
      </x:c>
      <x:c r="I25" s="69" t="n">
        <x:f>H25/'Gia dinh'!$B$6</x:f>
        <x:v>0.2857142857142857</x:v>
      </x:c>
      <x:c r="J25" s="69" t="n">
        <x:f>G25-I25</x:f>
        <x:v>-0.04293971924029727</x:v>
      </x:c>
      <x:c r="K25" s="71" t="n">
        <x:v>3460000</x:v>
      </x:c>
      <x:c r="L25" s="71" t="n">
        <x:f>E25*'Gia dinh'!$B$7</x:f>
        <x:v>2940000</x:v>
      </x:c>
      <x:c r="M25" s="80" t="n">
        <x:f>L25-K25</x:f>
        <x:v>-520000</x:v>
      </x:c>
      <x:c r="N25" s="72" t="n">
        <x:f>M25/K25</x:f>
        <x:v>-0.15028901734104047</x:v>
      </x:c>
      <x:c r="O25" s="66" t="n">
        <x:v>3</x:v>
      </x:c>
      <x:c r="P25" s="66" t="n">
        <x:v>13</x:v>
      </x:c>
      <x:c r="Q25" s="67" t="str">
        <x:f>IF(M25&lt;=0,"Loại",IF(AND(J25&gt;=0.03,P25&lt;=8),"Khuyến nghị","Theo dõi"))</x:f>
        <x:v>Loại</x:v>
      </x:c>
    </x:row>
    <x:row r="26">
      <x:c r="A26" s="66" t="n">
        <x:v>25</x:v>
      </x:c>
      <x:c r="B26" s="67" t="str">
        <x:v>chainSmallFirst</x:v>
      </x:c>
      <x:c r="C26" s="68" t="n">
        <x:v>45</x:v>
      </x:c>
      <x:c r="D26" s="68" t="n">
        <x:v>173</x:v>
      </x:c>
      <x:c r="E26" s="68" t="n">
        <x:v>125</x:v>
      </x:c>
      <x:c r="F26" s="68" t="n">
        <x:v>48</x:v>
      </x:c>
      <x:c r="G26" s="69" t="n">
        <x:f>E26/D26</x:f>
        <x:v>0.7225433526011561</x:v>
      </x:c>
      <x:c r="H26" s="70" t="n">
        <x:f>K26/D26/'Gia dinh'!$B$5</x:f>
        <x:v>53.60115606936416</x:v>
      </x:c>
      <x:c r="I26" s="69" t="n">
        <x:f>H26/'Gia dinh'!$B$6</x:f>
        <x:v>0.7657308009909165</x:v>
      </x:c>
      <x:c r="J26" s="69" t="n">
        <x:f>G26-I26</x:f>
        <x:v>-0.04318744838976041</x:v>
      </x:c>
      <x:c r="K26" s="71" t="n">
        <x:v>9273000</x:v>
      </x:c>
      <x:c r="L26" s="71" t="n">
        <x:f>E26*'Gia dinh'!$B$7</x:f>
        <x:v>8750000</x:v>
      </x:c>
      <x:c r="M26" s="80" t="n">
        <x:f>L26-K26</x:f>
        <x:v>-523000</x:v>
      </x:c>
      <x:c r="N26" s="72" t="n">
        <x:f>M26/K26</x:f>
        <x:v>-0.056400301951903375</x:v>
      </x:c>
      <x:c r="O26" s="66" t="n">
        <x:v>12</x:v>
      </x:c>
      <x:c r="P26" s="66" t="n">
        <x:v>3</x:v>
      </x:c>
      <x:c r="Q26" s="67" t="str">
        <x:f>IF(M26&lt;=0,"Loại",IF(AND(J26&gt;=0.03,P26&lt;=8),"Khuyến nghị","Theo dõi"))</x:f>
        <x:v>Loại</x:v>
      </x:c>
    </x:row>
    <x:row r="27">
      <x:c r="A27" s="66" t="n">
        <x:v>26</x:v>
      </x:c>
      <x:c r="B27" s="67" t="str">
        <x:v>chainTier</x:v>
      </x:c>
      <x:c r="C27" s="68" t="n">
        <x:v>85</x:v>
      </x:c>
      <x:c r="D27" s="68" t="n">
        <x:v>173</x:v>
      </x:c>
      <x:c r="E27" s="68" t="n">
        <x:v>26</x:v>
      </x:c>
      <x:c r="F27" s="68" t="n">
        <x:v>147</x:v>
      </x:c>
      <x:c r="G27" s="69" t="n">
        <x:f>E27/D27</x:f>
        <x:v>0.15028901734104047</x:v>
      </x:c>
      <x:c r="H27" s="70" t="n">
        <x:f>K27/D27/'Gia dinh'!$B$5</x:f>
        <x:v>13.583815028901734</x:v>
      </x:c>
      <x:c r="I27" s="69" t="n">
        <x:f>H27/'Gia dinh'!$B$6</x:f>
        <x:v>0.19405450041288191</x:v>
      </x:c>
      <x:c r="J27" s="69" t="n">
        <x:f>G27-I27</x:f>
        <x:v>-0.04376548307184144</x:v>
      </x:c>
      <x:c r="K27" s="71" t="n">
        <x:v>2350000</x:v>
      </x:c>
      <x:c r="L27" s="71" t="n">
        <x:f>E27*'Gia dinh'!$B$7</x:f>
        <x:v>1820000</x:v>
      </x:c>
      <x:c r="M27" s="80" t="n">
        <x:f>L27-K27</x:f>
        <x:v>-530000</x:v>
      </x:c>
      <x:c r="N27" s="72" t="n">
        <x:f>M27/K27</x:f>
        <x:v>-0.225531914893617</x:v>
      </x:c>
      <x:c r="O27" s="66" t="n">
        <x:v>3</x:v>
      </x:c>
      <x:c r="P27" s="66" t="n">
        <x:v>18</x:v>
      </x:c>
      <x:c r="Q27" s="67" t="str">
        <x:f>IF(M27&lt;=0,"Loại",IF(AND(J27&gt;=0.03,P27&lt;=8),"Khuyến nghị","Theo dõi"))</x:f>
        <x:v>Loại</x:v>
      </x:c>
    </x:row>
    <x:row r="28">
      <x:c r="A28" s="66" t="n">
        <x:v>27</x:v>
      </x:c>
      <x:c r="B28" s="67" t="str">
        <x:v>activeOnlyAvgRisk</x:v>
      </x:c>
      <x:c r="C28" s="68" t="n">
        <x:v>75</x:v>
      </x:c>
      <x:c r="D28" s="68" t="n">
        <x:v>173</x:v>
      </x:c>
      <x:c r="E28" s="68" t="n">
        <x:v>54</x:v>
      </x:c>
      <x:c r="F28" s="68" t="n">
        <x:v>119</x:v>
      </x:c>
      <x:c r="G28" s="69" t="n">
        <x:f>E28/D28</x:f>
        <x:v>0.31213872832369943</x:v>
      </x:c>
      <x:c r="H28" s="70" t="n">
        <x:f>K28/D28/'Gia dinh'!$B$5</x:f>
        <x:v>25</x:v>
      </x:c>
      <x:c r="I28" s="69" t="n">
        <x:f>H28/'Gia dinh'!$B$6</x:f>
        <x:v>0.35714285714285715</x:v>
      </x:c>
      <x:c r="J28" s="69" t="n">
        <x:f>G28-I28</x:f>
        <x:v>-0.04500412881915772</x:v>
      </x:c>
      <x:c r="K28" s="71" t="n">
        <x:v>4325000</x:v>
      </x:c>
      <x:c r="L28" s="71" t="n">
        <x:f>E28*'Gia dinh'!$B$7</x:f>
        <x:v>3780000</x:v>
      </x:c>
      <x:c r="M28" s="80" t="n">
        <x:f>L28-K28</x:f>
        <x:v>-545000</x:v>
      </x:c>
      <x:c r="N28" s="72" t="n">
        <x:f>M28/K28</x:f>
        <x:v>-0.1260115606936416</x:v>
      </x:c>
      <x:c r="O28" s="66" t="n">
        <x:v>4</x:v>
      </x:c>
      <x:c r="P28" s="66" t="n">
        <x:v>13</x:v>
      </x:c>
      <x:c r="Q28" s="67" t="str">
        <x:f>IF(M28&lt;=0,"Loại",IF(AND(J28&gt;=0.03,P28&lt;=8),"Khuyến nghị","Theo dõi"))</x:f>
        <x:v>Loại</x:v>
      </x:c>
    </x:row>
    <x:row r="29">
      <x:c r="A29" s="66" t="n">
        <x:v>28</x:v>
      </x:c>
      <x:c r="B29" s="67" t="str">
        <x:v>numberWeightedRisk</x:v>
      </x:c>
      <x:c r="C29" s="68" t="n">
        <x:v>75</x:v>
      </x:c>
      <x:c r="D29" s="68" t="n">
        <x:v>173</x:v>
      </x:c>
      <x:c r="E29" s="68" t="n">
        <x:v>53</x:v>
      </x:c>
      <x:c r="F29" s="68" t="n">
        <x:v>120</x:v>
      </x:c>
      <x:c r="G29" s="69" t="n">
        <x:f>E29/D29</x:f>
        <x:v>0.3063583815028902</x:v>
      </x:c>
      <x:c r="H29" s="70" t="n">
        <x:f>K29/D29/'Gia dinh'!$B$5</x:f>
        <x:v>25</x:v>
      </x:c>
      <x:c r="I29" s="69" t="n">
        <x:f>H29/'Gia dinh'!$B$6</x:f>
        <x:v>0.35714285714285715</x:v>
      </x:c>
      <x:c r="J29" s="69" t="n">
        <x:f>G29-I29</x:f>
        <x:v>-0.050784475639966964</x:v>
      </x:c>
      <x:c r="K29" s="71" t="n">
        <x:v>4325000</x:v>
      </x:c>
      <x:c r="L29" s="71" t="n">
        <x:f>E29*'Gia dinh'!$B$7</x:f>
        <x:v>3710000</x:v>
      </x:c>
      <x:c r="M29" s="80" t="n">
        <x:f>L29-K29</x:f>
        <x:v>-615000</x:v>
      </x:c>
      <x:c r="N29" s="72" t="n">
        <x:f>M29/K29</x:f>
        <x:v>-0.14219653179190753</x:v>
      </x:c>
      <x:c r="O29" s="66" t="n">
        <x:v>4</x:v>
      </x:c>
      <x:c r="P29" s="66" t="n">
        <x:v>9</x:v>
      </x:c>
      <x:c r="Q29" s="67" t="str">
        <x:f>IF(M29&lt;=0,"Loại",IF(AND(J29&gt;=0.03,P29&lt;=8),"Khuyến nghị","Theo dõi"))</x:f>
        <x:v>Loại</x:v>
      </x:c>
    </x:row>
    <x:row r="30">
      <x:c r="A30" s="66" t="n">
        <x:v>29</x:v>
      </x:c>
      <x:c r="B30" s="67" t="str">
        <x:v>chainSmallFirst</x:v>
      </x:c>
      <x:c r="C30" s="68" t="n">
        <x:v>40</x:v>
      </x:c>
      <x:c r="D30" s="68" t="n">
        <x:v>173</x:v>
      </x:c>
      <x:c r="E30" s="68" t="n">
        <x:v>136</x:v>
      </x:c>
      <x:c r="F30" s="68" t="n">
        <x:v>37</x:v>
      </x:c>
      <x:c r="G30" s="69" t="n">
        <x:f>E30/D30</x:f>
        <x:v>0.7861271676300579</x:v>
      </x:c>
      <x:c r="H30" s="70" t="n">
        <x:f>K30/D30/'Gia dinh'!$B$5</x:f>
        <x:v>58.74566473988439</x:v>
      </x:c>
      <x:c r="I30" s="69" t="n">
        <x:f>H30/'Gia dinh'!$B$6</x:f>
        <x:v>0.8392237819983485</x:v>
      </x:c>
      <x:c r="J30" s="69" t="n">
        <x:f>G30-I30</x:f>
        <x:v>-0.05309661436829061</x:v>
      </x:c>
      <x:c r="K30" s="71" t="n">
        <x:v>10163000</x:v>
      </x:c>
      <x:c r="L30" s="71" t="n">
        <x:f>E30*'Gia dinh'!$B$7</x:f>
        <x:v>9520000</x:v>
      </x:c>
      <x:c r="M30" s="80" t="n">
        <x:f>L30-K30</x:f>
        <x:v>-643000</x:v>
      </x:c>
      <x:c r="N30" s="72" t="n">
        <x:f>M30/K30</x:f>
        <x:v>-0.06326871986618124</x:v>
      </x:c>
      <x:c r="O30" s="66" t="n">
        <x:v>12</x:v>
      </x:c>
      <x:c r="P30" s="66" t="n">
        <x:v>2</x:v>
      </x:c>
      <x:c r="Q30" s="67" t="str">
        <x:f>IF(M30&lt;=0,"Loại",IF(AND(J30&gt;=0.03,P30&lt;=8),"Khuyến nghị","Theo dõi"))</x:f>
        <x:v>Loại</x:v>
      </x:c>
    </x:row>
    <x:row r="31">
      <x:c r="A31" s="66" t="n">
        <x:v>30</x:v>
      </x:c>
      <x:c r="B31" s="67" t="str">
        <x:v>numberConsensusRisk</x:v>
      </x:c>
      <x:c r="C31" s="68" t="n">
        <x:v>75</x:v>
      </x:c>
      <x:c r="D31" s="68" t="n">
        <x:v>173</x:v>
      </x:c>
      <x:c r="E31" s="68" t="n">
        <x:v>52</x:v>
      </x:c>
      <x:c r="F31" s="68" t="n">
        <x:v>121</x:v>
      </x:c>
      <x:c r="G31" s="69" t="n">
        <x:f>E31/D31</x:f>
        <x:v>0.30057803468208094</x:v>
      </x:c>
      <x:c r="H31" s="70" t="n">
        <x:f>K31/D31/'Gia dinh'!$B$5</x:f>
        <x:v>25</x:v>
      </x:c>
      <x:c r="I31" s="69" t="n">
        <x:f>H31/'Gia dinh'!$B$6</x:f>
        <x:v>0.35714285714285715</x:v>
      </x:c>
      <x:c r="J31" s="69" t="n">
        <x:f>G31-I31</x:f>
        <x:v>-0.05656482246077621</x:v>
      </x:c>
      <x:c r="K31" s="71" t="n">
        <x:v>4325000</x:v>
      </x:c>
      <x:c r="L31" s="71" t="n">
        <x:f>E31*'Gia dinh'!$B$7</x:f>
        <x:v>3640000</x:v>
      </x:c>
      <x:c r="M31" s="80" t="n">
        <x:f>L31-K31</x:f>
        <x:v>-685000</x:v>
      </x:c>
      <x:c r="N31" s="72" t="n">
        <x:f>M31/K31</x:f>
        <x:v>-0.15838150289017341</x:v>
      </x:c>
      <x:c r="O31" s="66" t="n">
        <x:v>4</x:v>
      </x:c>
      <x:c r="P31" s="66" t="n">
        <x:v>12</x:v>
      </x:c>
      <x:c r="Q31" s="67" t="str">
        <x:f>IF(M31&lt;=0,"Loại",IF(AND(J31&gt;=0.03,P31&lt;=8),"Khuyến nghị","Theo dõi"))</x:f>
        <x:v>Loại</x:v>
      </x:c>
    </x:row>
    <x:row r="32">
      <x:c r="A32" s="66" t="n">
        <x:v>31</x:v>
      </x:c>
      <x:c r="B32" s="67" t="str">
        <x:v>activeOnlyAvgRisk</x:v>
      </x:c>
      <x:c r="C32" s="68" t="n">
        <x:v>70</x:v>
      </x:c>
      <x:c r="D32" s="68" t="n">
        <x:v>173</x:v>
      </x:c>
      <x:c r="E32" s="68" t="n">
        <x:v>64</x:v>
      </x:c>
      <x:c r="F32" s="68" t="n">
        <x:v>109</x:v>
      </x:c>
      <x:c r="G32" s="69" t="n">
        <x:f>E32/D32</x:f>
        <x:v>0.3699421965317919</x:v>
      </x:c>
      <x:c r="H32" s="70" t="n">
        <x:f>K32/D32/'Gia dinh'!$B$5</x:f>
        <x:v>30</x:v>
      </x:c>
      <x:c r="I32" s="69" t="n">
        <x:f>H32/'Gia dinh'!$B$6</x:f>
        <x:v>0.42857142857142855</x:v>
      </x:c>
      <x:c r="J32" s="69" t="n">
        <x:f>G32-I32</x:f>
        <x:v>-0.05862923203963666</x:v>
      </x:c>
      <x:c r="K32" s="71" t="n">
        <x:v>5190000</x:v>
      </x:c>
      <x:c r="L32" s="71" t="n">
        <x:f>E32*'Gia dinh'!$B$7</x:f>
        <x:v>4480000</x:v>
      </x:c>
      <x:c r="M32" s="80" t="n">
        <x:f>L32-K32</x:f>
        <x:v>-710000</x:v>
      </x:c>
      <x:c r="N32" s="72" t="n">
        <x:f>M32/K32</x:f>
        <x:v>-0.13680154142581888</x:v>
      </x:c>
      <x:c r="O32" s="66" t="n">
        <x:v>4</x:v>
      </x:c>
      <x:c r="P32" s="66" t="n">
        <x:v>13</x:v>
      </x:c>
      <x:c r="Q32" s="67" t="str">
        <x:f>IF(M32&lt;=0,"Loại",IF(AND(J32&gt;=0.03,P32&lt;=8),"Khuyến nghị","Theo dõi"))</x:f>
        <x:v>Loại</x:v>
      </x:c>
    </x:row>
    <x:row r="33">
      <x:c r="A33" s="66" t="n">
        <x:v>32</x:v>
      </x:c>
      <x:c r="B33" s="67" t="str">
        <x:v>chainFreqFirst</x:v>
      </x:c>
      <x:c r="C33" s="68" t="n">
        <x:v>85</x:v>
      </x:c>
      <x:c r="D33" s="68" t="n">
        <x:v>173</x:v>
      </x:c>
      <x:c r="E33" s="68" t="n">
        <x:v>22</x:v>
      </x:c>
      <x:c r="F33" s="68" t="n">
        <x:v>151</x:v>
      </x:c>
      <x:c r="G33" s="69" t="n">
        <x:f>E33/D33</x:f>
        <x:v>0.12716763005780346</x:v>
      </x:c>
      <x:c r="H33" s="70" t="n">
        <x:f>K33/D33/'Gia dinh'!$B$5</x:f>
        <x:v>13.017341040462428</x:v>
      </x:c>
      <x:c r="I33" s="69" t="n">
        <x:f>H33/'Gia dinh'!$B$6</x:f>
        <x:v>0.18596201486374897</x:v>
      </x:c>
      <x:c r="J33" s="69" t="n">
        <x:f>G33-I33</x:f>
        <x:v>-0.05879438480594551</x:v>
      </x:c>
      <x:c r="K33" s="71" t="n">
        <x:v>2252000</x:v>
      </x:c>
      <x:c r="L33" s="71" t="n">
        <x:f>E33*'Gia dinh'!$B$7</x:f>
        <x:v>1540000</x:v>
      </x:c>
      <x:c r="M33" s="80" t="n">
        <x:f>L33-K33</x:f>
        <x:v>-712000</x:v>
      </x:c>
      <x:c r="N33" s="72" t="n">
        <x:f>M33/K33</x:f>
        <x:v>-0.31616341030195383</x:v>
      </x:c>
      <x:c r="O33" s="66" t="n">
        <x:v>2</x:v>
      </x:c>
      <x:c r="P33" s="66" t="n">
        <x:v>24</x:v>
      </x:c>
      <x:c r="Q33" s="67" t="str">
        <x:f>IF(M33&lt;=0,"Loại",IF(AND(J33&gt;=0.03,P33&lt;=8),"Khuyến nghị","Theo dõi"))</x:f>
        <x:v>Loại</x:v>
      </x:c>
    </x:row>
    <x:row r="34">
      <x:c r="A34" s="66" t="n">
        <x:v>33</x:v>
      </x:c>
      <x:c r="B34" s="67" t="str">
        <x:v>chainRiskFirst</x:v>
      </x:c>
      <x:c r="C34" s="68" t="n">
        <x:v>85</x:v>
      </x:c>
      <x:c r="D34" s="68" t="n">
        <x:v>173</x:v>
      </x:c>
      <x:c r="E34" s="68" t="n">
        <x:v>22</x:v>
      </x:c>
      <x:c r="F34" s="68" t="n">
        <x:v>151</x:v>
      </x:c>
      <x:c r="G34" s="69" t="n">
        <x:f>E34/D34</x:f>
        <x:v>0.12716763005780346</x:v>
      </x:c>
      <x:c r="H34" s="70" t="n">
        <x:f>K34/D34/'Gia dinh'!$B$5</x:f>
        <x:v>13.017341040462428</x:v>
      </x:c>
      <x:c r="I34" s="69" t="n">
        <x:f>H34/'Gia dinh'!$B$6</x:f>
        <x:v>0.18596201486374897</x:v>
      </x:c>
      <x:c r="J34" s="69" t="n">
        <x:f>G34-I34</x:f>
        <x:v>-0.05879438480594551</x:v>
      </x:c>
      <x:c r="K34" s="71" t="n">
        <x:v>2252000</x:v>
      </x:c>
      <x:c r="L34" s="71" t="n">
        <x:f>E34*'Gia dinh'!$B$7</x:f>
        <x:v>1540000</x:v>
      </x:c>
      <x:c r="M34" s="80" t="n">
        <x:f>L34-K34</x:f>
        <x:v>-712000</x:v>
      </x:c>
      <x:c r="N34" s="72" t="n">
        <x:f>M34/K34</x:f>
        <x:v>-0.31616341030195383</x:v>
      </x:c>
      <x:c r="O34" s="66" t="n">
        <x:v>2</x:v>
      </x:c>
      <x:c r="P34" s="66" t="n">
        <x:v>24</x:v>
      </x:c>
      <x:c r="Q34" s="67" t="str">
        <x:f>IF(M34&lt;=0,"Loại",IF(AND(J34&gt;=0.03,P34&lt;=8),"Khuyến nghị","Theo dõi"))</x:f>
        <x:v>Loại</x:v>
      </x:c>
    </x:row>
    <x:row r="35">
      <x:c r="A35" s="66" t="n">
        <x:v>34</x:v>
      </x:c>
      <x:c r="B35" s="67" t="str">
        <x:v>chainTier</x:v>
      </x:c>
      <x:c r="C35" s="68" t="n">
        <x:v>80</x:v>
      </x:c>
      <x:c r="D35" s="68" t="n">
        <x:v>173</x:v>
      </x:c>
      <x:c r="E35" s="68" t="n">
        <x:v>34</x:v>
      </x:c>
      <x:c r="F35" s="68" t="n">
        <x:v>139</x:v>
      </x:c>
      <x:c r="G35" s="69" t="n">
        <x:f>E35/D35</x:f>
        <x:v>0.19653179190751446</x:v>
      </x:c>
      <x:c r="H35" s="70" t="n">
        <x:f>K35/D35/'Gia dinh'!$B$5</x:f>
        <x:v>18.514450867052023</x:v>
      </x:c>
      <x:c r="I35" s="69" t="n">
        <x:f>H35/'Gia dinh'!$B$6</x:f>
        <x:v>0.2644921552436003</x:v>
      </x:c>
      <x:c r="J35" s="69" t="n">
        <x:f>G35-I35</x:f>
        <x:v>-0.06796036333608585</x:v>
      </x:c>
      <x:c r="K35" s="71" t="n">
        <x:v>3203000</x:v>
      </x:c>
      <x:c r="L35" s="71" t="n">
        <x:f>E35*'Gia dinh'!$B$7</x:f>
        <x:v>2380000</x:v>
      </x:c>
      <x:c r="M35" s="80" t="n">
        <x:f>L35-K35</x:f>
        <x:v>-823000</x:v>
      </x:c>
      <x:c r="N35" s="72" t="n">
        <x:f>M35/K35</x:f>
        <x:v>-0.2569466125507337</x:v>
      </x:c>
      <x:c r="O35" s="66" t="n">
        <x:v>3</x:v>
      </x:c>
      <x:c r="P35" s="66" t="n">
        <x:v>14</x:v>
      </x:c>
      <x:c r="Q35" s="67" t="str">
        <x:f>IF(M35&lt;=0,"Loại",IF(AND(J35&gt;=0.03,P35&lt;=8),"Khuyến nghị","Theo dõi"))</x:f>
        <x:v>Loại</x:v>
      </x:c>
    </x:row>
    <x:row r="36">
      <x:c r="A36" s="66" t="n">
        <x:v>35</x:v>
      </x:c>
      <x:c r="B36" s="67" t="str">
        <x:v>chainSmallFirst</x:v>
      </x:c>
      <x:c r="C36" s="68" t="n">
        <x:v>35</x:v>
      </x:c>
      <x:c r="D36" s="68" t="n">
        <x:v>173</x:v>
      </x:c>
      <x:c r="E36" s="68" t="n">
        <x:v>146</x:v>
      </x:c>
      <x:c r="F36" s="68" t="n">
        <x:v>27</x:v>
      </x:c>
      <x:c r="G36" s="69" t="n">
        <x:f>E36/D36</x:f>
        <x:v>0.8439306358381503</x:v>
      </x:c>
      <x:c r="H36" s="70" t="n">
        <x:f>K36/D36/'Gia dinh'!$B$5</x:f>
        <x:v>64.08092485549133</x:v>
      </x:c>
      <x:c r="I36" s="69" t="n">
        <x:f>H36/'Gia dinh'!$B$6</x:f>
        <x:v>0.9154417836498762</x:v>
      </x:c>
      <x:c r="J36" s="69" t="n">
        <x:f>G36-I36</x:f>
        <x:v>-0.07151114781172585</x:v>
      </x:c>
      <x:c r="K36" s="71" t="n">
        <x:v>11086000</x:v>
      </x:c>
      <x:c r="L36" s="71" t="n">
        <x:f>E36*'Gia dinh'!$B$7</x:f>
        <x:v>10220000</x:v>
      </x:c>
      <x:c r="M36" s="80" t="n">
        <x:f>L36-K36</x:f>
        <x:v>-866000</x:v>
      </x:c>
      <x:c r="N36" s="72" t="n">
        <x:f>M36/K36</x:f>
        <x:v>-0.07811654338805701</x:v>
      </x:c>
      <x:c r="O36" s="66" t="n">
        <x:v>27</x:v>
      </x:c>
      <x:c r="P36" s="66" t="n">
        <x:v>2</x:v>
      </x:c>
      <x:c r="Q36" s="67" t="str">
        <x:f>IF(M36&lt;=0,"Loại",IF(AND(J36&gt;=0.03,P36&lt;=8),"Khuyến nghị","Theo dõi"))</x:f>
        <x:v>Loại</x:v>
      </x:c>
    </x:row>
    <x:row r="37">
      <x:c r="A37" s="66" t="n">
        <x:v>36</x:v>
      </x:c>
      <x:c r="B37" s="67" t="str">
        <x:v>activeOnlyAvgRisk</x:v>
      </x:c>
      <x:c r="C37" s="68" t="n">
        <x:v>65</x:v>
      </x:c>
      <x:c r="D37" s="68" t="n">
        <x:v>173</x:v>
      </x:c>
      <x:c r="E37" s="68" t="n">
        <x:v>74</x:v>
      </x:c>
      <x:c r="F37" s="68" t="n">
        <x:v>99</x:v>
      </x:c>
      <x:c r="G37" s="69" t="n">
        <x:f>E37/D37</x:f>
        <x:v>0.4277456647398844</x:v>
      </x:c>
      <x:c r="H37" s="70" t="n">
        <x:f>K37/D37/'Gia dinh'!$B$5</x:f>
        <x:v>35</x:v>
      </x:c>
      <x:c r="I37" s="69" t="n">
        <x:f>H37/'Gia dinh'!$B$6</x:f>
        <x:v>0.5</x:v>
      </x:c>
      <x:c r="J37" s="69" t="n">
        <x:f>G37-I37</x:f>
        <x:v>-0.0722543352601156</x:v>
      </x:c>
      <x:c r="K37" s="71" t="n">
        <x:v>6055000</x:v>
      </x:c>
      <x:c r="L37" s="71" t="n">
        <x:f>E37*'Gia dinh'!$B$7</x:f>
        <x:v>5180000</x:v>
      </x:c>
      <x:c r="M37" s="80" t="n">
        <x:f>L37-K37</x:f>
        <x:v>-875000</x:v>
      </x:c>
      <x:c r="N37" s="72" t="n">
        <x:f>M37/K37</x:f>
        <x:v>-0.14450867052023122</x:v>
      </x:c>
      <x:c r="O37" s="66" t="n">
        <x:v>5</x:v>
      </x:c>
      <x:c r="P37" s="66" t="n">
        <x:v>7</x:v>
      </x:c>
      <x:c r="Q37" s="67" t="str">
        <x:f>IF(M37&lt;=0,"Loại",IF(AND(J37&gt;=0.03,P37&lt;=8),"Khuyến nghị","Theo dõi"))</x:f>
        <x:v>Loại</x:v>
      </x:c>
    </x:row>
    <x:row r="38">
      <x:c r="A38" s="66" t="n">
        <x:v>37</x:v>
      </x:c>
      <x:c r="B38" s="67" t="str">
        <x:v>chainFreqFirst</x:v>
      </x:c>
      <x:c r="C38" s="68" t="n">
        <x:v>80</x:v>
      </x:c>
      <x:c r="D38" s="68" t="n">
        <x:v>173</x:v>
      </x:c>
      <x:c r="E38" s="68" t="n">
        <x:v>32</x:v>
      </x:c>
      <x:c r="F38" s="68" t="n">
        <x:v>141</x:v>
      </x:c>
      <x:c r="G38" s="69" t="n">
        <x:f>E38/D38</x:f>
        <x:v>0.18497109826589594</x:v>
      </x:c>
      <x:c r="H38" s="70" t="n">
        <x:f>K38/D38/'Gia dinh'!$B$5</x:f>
        <x:v>18.08092485549133</x:v>
      </x:c>
      <x:c r="I38" s="69" t="n">
        <x:f>H38/'Gia dinh'!$B$6</x:f>
        <x:v>0.25829892650701897</x:v>
      </x:c>
      <x:c r="J38" s="69" t="n">
        <x:f>G38-I38</x:f>
        <x:v>-0.07332782824112302</x:v>
      </x:c>
      <x:c r="K38" s="71" t="n">
        <x:v>3128000</x:v>
      </x:c>
      <x:c r="L38" s="71" t="n">
        <x:f>E38*'Gia dinh'!$B$7</x:f>
        <x:v>2240000</x:v>
      </x:c>
      <x:c r="M38" s="80" t="n">
        <x:f>L38-K38</x:f>
        <x:v>-888000</x:v>
      </x:c>
      <x:c r="N38" s="72" t="n">
        <x:f>M38/K38</x:f>
        <x:v>-0.28388746803069054</x:v>
      </x:c>
      <x:c r="O38" s="66" t="n">
        <x:v>2</x:v>
      </x:c>
      <x:c r="P38" s="66" t="n">
        <x:v>15</x:v>
      </x:c>
      <x:c r="Q38" s="67" t="str">
        <x:f>IF(M38&lt;=0,"Loại",IF(AND(J38&gt;=0.03,P38&lt;=8),"Khuyến nghị","Theo dõi"))</x:f>
        <x:v>Loại</x:v>
      </x:c>
    </x:row>
    <x:row r="39">
      <x:c r="A39" s="66" t="n">
        <x:v>38</x:v>
      </x:c>
      <x:c r="B39" s="67" t="str">
        <x:v>chainRiskFirst</x:v>
      </x:c>
      <x:c r="C39" s="68" t="n">
        <x:v>80</x:v>
      </x:c>
      <x:c r="D39" s="68" t="n">
        <x:v>173</x:v>
      </x:c>
      <x:c r="E39" s="68" t="n">
        <x:v>32</x:v>
      </x:c>
      <x:c r="F39" s="68" t="n">
        <x:v>141</x:v>
      </x:c>
      <x:c r="G39" s="69" t="n">
        <x:f>E39/D39</x:f>
        <x:v>0.18497109826589594</x:v>
      </x:c>
      <x:c r="H39" s="70" t="n">
        <x:f>K39/D39/'Gia dinh'!$B$5</x:f>
        <x:v>18.08092485549133</x:v>
      </x:c>
      <x:c r="I39" s="69" t="n">
        <x:f>H39/'Gia dinh'!$B$6</x:f>
        <x:v>0.25829892650701897</x:v>
      </x:c>
      <x:c r="J39" s="69" t="n">
        <x:f>G39-I39</x:f>
        <x:v>-0.07332782824112302</x:v>
      </x:c>
      <x:c r="K39" s="71" t="n">
        <x:v>3128000</x:v>
      </x:c>
      <x:c r="L39" s="71" t="n">
        <x:f>E39*'Gia dinh'!$B$7</x:f>
        <x:v>2240000</x:v>
      </x:c>
      <x:c r="M39" s="80" t="n">
        <x:f>L39-K39</x:f>
        <x:v>-888000</x:v>
      </x:c>
      <x:c r="N39" s="72" t="n">
        <x:f>M39/K39</x:f>
        <x:v>-0.28388746803069054</x:v>
      </x:c>
      <x:c r="O39" s="66" t="n">
        <x:v>2</x:v>
      </x:c>
      <x:c r="P39" s="66" t="n">
        <x:v>15</x:v>
      </x:c>
      <x:c r="Q39" s="67" t="str">
        <x:f>IF(M39&lt;=0,"Loại",IF(AND(J39&gt;=0.03,P39&lt;=8),"Khuyến nghị","Theo dõi"))</x:f>
        <x:v>Loại</x:v>
      </x:c>
    </x:row>
    <x:row r="40">
      <x:c r="A40" s="66" t="n">
        <x:v>39</x:v>
      </x:c>
      <x:c r="B40" s="67" t="str">
        <x:v>numberAvgRisk</x:v>
      </x:c>
      <x:c r="C40" s="68" t="n">
        <x:v>75</x:v>
      </x:c>
      <x:c r="D40" s="68" t="n">
        <x:v>173</x:v>
      </x:c>
      <x:c r="E40" s="68" t="n">
        <x:v>48</x:v>
      </x:c>
      <x:c r="F40" s="68" t="n">
        <x:v>125</x:v>
      </x:c>
      <x:c r="G40" s="69" t="n">
        <x:f>E40/D40</x:f>
        <x:v>0.2774566473988439</x:v>
      </x:c>
      <x:c r="H40" s="70" t="n">
        <x:f>K40/D40/'Gia dinh'!$B$5</x:f>
        <x:v>25</x:v>
      </x:c>
      <x:c r="I40" s="69" t="n">
        <x:f>H40/'Gia dinh'!$B$6</x:f>
        <x:v>0.35714285714285715</x:v>
      </x:c>
      <x:c r="J40" s="69" t="n">
        <x:f>G40-I40</x:f>
        <x:v>-0.07968620974401325</x:v>
      </x:c>
      <x:c r="K40" s="71" t="n">
        <x:v>4325000</x:v>
      </x:c>
      <x:c r="L40" s="71" t="n">
        <x:f>E40*'Gia dinh'!$B$7</x:f>
        <x:v>3360000</x:v>
      </x:c>
      <x:c r="M40" s="80" t="n">
        <x:f>L40-K40</x:f>
        <x:v>-965000</x:v>
      </x:c>
      <x:c r="N40" s="72" t="n">
        <x:f>M40/K40</x:f>
        <x:v>-0.223121387283237</x:v>
      </x:c>
      <x:c r="O40" s="66" t="n">
        <x:v>4</x:v>
      </x:c>
      <x:c r="P40" s="66" t="n">
        <x:v>12</x:v>
      </x:c>
      <x:c r="Q40" s="67" t="str">
        <x:f>IF(M40&lt;=0,"Loại",IF(AND(J40&gt;=0.03,P40&lt;=8),"Khuyến nghị","Theo dõi"))</x:f>
        <x:v>Loại</x:v>
      </x:c>
    </x:row>
    <x:row r="41">
      <x:c r="A41" s="66" t="n">
        <x:v>40</x:v>
      </x:c>
      <x:c r="B41" s="67" t="str">
        <x:v>activeOnlyAvgRisk</x:v>
      </x:c>
      <x:c r="C41" s="68" t="n">
        <x:v>60</x:v>
      </x:c>
      <x:c r="D41" s="68" t="n">
        <x:v>173</x:v>
      </x:c>
      <x:c r="E41" s="68" t="n">
        <x:v>85</x:v>
      </x:c>
      <x:c r="F41" s="68" t="n">
        <x:v>88</x:v>
      </x:c>
      <x:c r="G41" s="69" t="n">
        <x:f>E41/D41</x:f>
        <x:v>0.4913294797687861</x:v>
      </x:c>
      <x:c r="H41" s="70" t="n">
        <x:f>K41/D41/'Gia dinh'!$B$5</x:f>
        <x:v>40</x:v>
      </x:c>
      <x:c r="I41" s="69" t="n">
        <x:f>H41/'Gia dinh'!$B$6</x:f>
        <x:v>0.5714285714285714</x:v>
      </x:c>
      <x:c r="J41" s="69" t="n">
        <x:f>G41-I41</x:f>
        <x:v>-0.0800990916597853</x:v>
      </x:c>
      <x:c r="K41" s="71" t="n">
        <x:v>6920000</x:v>
      </x:c>
      <x:c r="L41" s="71" t="n">
        <x:f>E41*'Gia dinh'!$B$7</x:f>
        <x:v>5950000</x:v>
      </x:c>
      <x:c r="M41" s="80" t="n">
        <x:f>L41-K41</x:f>
        <x:v>-970000</x:v>
      </x:c>
      <x:c r="N41" s="72" t="n">
        <x:f>M41/K41</x:f>
        <x:v>-0.14017341040462428</x:v>
      </x:c>
      <x:c r="O41" s="66" t="n">
        <x:v>7</x:v>
      </x:c>
      <x:c r="P41" s="66" t="n">
        <x:v>6</x:v>
      </x:c>
      <x:c r="Q41" s="67" t="str">
        <x:f>IF(M41&lt;=0,"Loại",IF(AND(J41&gt;=0.03,P41&lt;=8),"Khuyến nghị","Theo dõi"))</x:f>
        <x:v>Loại</x:v>
      </x:c>
    </x:row>
    <x:row r="42">
      <x:c r="A42" s="66" t="n">
        <x:v>41</x:v>
      </x:c>
      <x:c r="B42" s="67" t="str">
        <x:v>numberAvgRisk</x:v>
      </x:c>
      <x:c r="C42" s="68" t="n">
        <x:v>70</x:v>
      </x:c>
      <x:c r="D42" s="68" t="n">
        <x:v>173</x:v>
      </x:c>
      <x:c r="E42" s="68" t="n">
        <x:v>59</x:v>
      </x:c>
      <x:c r="F42" s="68" t="n">
        <x:v>114</x:v>
      </x:c>
      <x:c r="G42" s="69" t="n">
        <x:f>E42/D42</x:f>
        <x:v>0.34104046242774566</x:v>
      </x:c>
      <x:c r="H42" s="70" t="n">
        <x:f>K42/D42/'Gia dinh'!$B$5</x:f>
        <x:v>30</x:v>
      </x:c>
      <x:c r="I42" s="69" t="n">
        <x:f>H42/'Gia dinh'!$B$6</x:f>
        <x:v>0.42857142857142855</x:v>
      </x:c>
      <x:c r="J42" s="69" t="n">
        <x:f>G42-I42</x:f>
        <x:v>-0.08753096614368289</x:v>
      </x:c>
      <x:c r="K42" s="71" t="n">
        <x:v>5190000</x:v>
      </x:c>
      <x:c r="L42" s="71" t="n">
        <x:f>E42*'Gia dinh'!$B$7</x:f>
        <x:v>4130000</x:v>
      </x:c>
      <x:c r="M42" s="80" t="n">
        <x:f>L42-K42</x:f>
        <x:v>-1060000</x:v>
      </x:c>
      <x:c r="N42" s="72" t="n">
        <x:f>M42/K42</x:f>
        <x:v>-0.20423892100192678</x:v>
      </x:c>
      <x:c r="O42" s="66" t="n">
        <x:v>4</x:v>
      </x:c>
      <x:c r="P42" s="66" t="n">
        <x:v>9</x:v>
      </x:c>
      <x:c r="Q42" s="67" t="str">
        <x:f>IF(M42&lt;=0,"Loại",IF(AND(J42&gt;=0.03,P42&lt;=8),"Khuyến nghị","Theo dõi"))</x:f>
        <x:v>Loại</x:v>
      </x:c>
    </x:row>
    <x:row r="43">
      <x:c r="A43" s="66" t="n">
        <x:v>42</x:v>
      </x:c>
      <x:c r="B43" s="67" t="str">
        <x:v>numberWeightedRisk</x:v>
      </x:c>
      <x:c r="C43" s="68" t="n">
        <x:v>70</x:v>
      </x:c>
      <x:c r="D43" s="68" t="n">
        <x:v>173</x:v>
      </x:c>
      <x:c r="E43" s="68" t="n">
        <x:v>59</x:v>
      </x:c>
      <x:c r="F43" s="68" t="n">
        <x:v>114</x:v>
      </x:c>
      <x:c r="G43" s="69" t="n">
        <x:f>E43/D43</x:f>
        <x:v>0.34104046242774566</x:v>
      </x:c>
      <x:c r="H43" s="70" t="n">
        <x:f>K43/D43/'Gia dinh'!$B$5</x:f>
        <x:v>30</x:v>
      </x:c>
      <x:c r="I43" s="69" t="n">
        <x:f>H43/'Gia dinh'!$B$6</x:f>
        <x:v>0.42857142857142855</x:v>
      </x:c>
      <x:c r="J43" s="69" t="n">
        <x:f>G43-I43</x:f>
        <x:v>-0.08753096614368289</x:v>
      </x:c>
      <x:c r="K43" s="71" t="n">
        <x:v>5190000</x:v>
      </x:c>
      <x:c r="L43" s="71" t="n">
        <x:f>E43*'Gia dinh'!$B$7</x:f>
        <x:v>4130000</x:v>
      </x:c>
      <x:c r="M43" s="80" t="n">
        <x:f>L43-K43</x:f>
        <x:v>-1060000</x:v>
      </x:c>
      <x:c r="N43" s="72" t="n">
        <x:f>M43/K43</x:f>
        <x:v>-0.20423892100192678</x:v>
      </x:c>
      <x:c r="O43" s="66" t="n">
        <x:v>4</x:v>
      </x:c>
      <x:c r="P43" s="66" t="n">
        <x:v>9</x:v>
      </x:c>
      <x:c r="Q43" s="67" t="str">
        <x:f>IF(M43&lt;=0,"Loại",IF(AND(J43&gt;=0.03,P43&lt;=8),"Khuyến nghị","Theo dõi"))</x:f>
        <x:v>Loại</x:v>
      </x:c>
    </x:row>
    <x:row r="44">
      <x:c r="A44" s="66" t="n">
        <x:v>43</x:v>
      </x:c>
      <x:c r="B44" s="67" t="str">
        <x:v>numberConsensusRisk</x:v>
      </x:c>
      <x:c r="C44" s="68" t="n">
        <x:v>70</x:v>
      </x:c>
      <x:c r="D44" s="68" t="n">
        <x:v>173</x:v>
      </x:c>
      <x:c r="E44" s="68" t="n">
        <x:v>58</x:v>
      </x:c>
      <x:c r="F44" s="68" t="n">
        <x:v>115</x:v>
      </x:c>
      <x:c r="G44" s="69" t="n">
        <x:f>E44/D44</x:f>
        <x:v>0.3352601156069364</x:v>
      </x:c>
      <x:c r="H44" s="70" t="n">
        <x:f>K44/D44/'Gia dinh'!$B$5</x:f>
        <x:v>30</x:v>
      </x:c>
      <x:c r="I44" s="69" t="n">
        <x:f>H44/'Gia dinh'!$B$6</x:f>
        <x:v>0.42857142857142855</x:v>
      </x:c>
      <x:c r="J44" s="69" t="n">
        <x:f>G44-I44</x:f>
        <x:v>-0.09331131296449213</x:v>
      </x:c>
      <x:c r="K44" s="71" t="n">
        <x:v>5190000</x:v>
      </x:c>
      <x:c r="L44" s="71" t="n">
        <x:f>E44*'Gia dinh'!$B$7</x:f>
        <x:v>4060000</x:v>
      </x:c>
      <x:c r="M44" s="80" t="n">
        <x:f>L44-K44</x:f>
        <x:v>-1130000</x:v>
      </x:c>
      <x:c r="N44" s="72" t="n">
        <x:f>M44/K44</x:f>
        <x:v>-0.21772639691714837</x:v>
      </x:c>
      <x:c r="O44" s="66" t="n">
        <x:v>4</x:v>
      </x:c>
      <x:c r="P44" s="66" t="n">
        <x:v>9</x:v>
      </x:c>
      <x:c r="Q44" s="67" t="str">
        <x:f>IF(M44&lt;=0,"Loại",IF(AND(J44&gt;=0.03,P44&lt;=8),"Khuyến nghị","Theo dõi"))</x:f>
        <x:v>Loại</x:v>
      </x:c>
    </x:row>
    <x:row r="45">
      <x:c r="A45" s="66" t="n">
        <x:v>44</x:v>
      </x:c>
      <x:c r="B45" s="67" t="str">
        <x:v>chainTier</x:v>
      </x:c>
      <x:c r="C45" s="68" t="n">
        <x:v>75</x:v>
      </x:c>
      <x:c r="D45" s="68" t="n">
        <x:v>173</x:v>
      </x:c>
      <x:c r="E45" s="68" t="n">
        <x:v>41</x:v>
      </x:c>
      <x:c r="F45" s="68" t="n">
        <x:v>132</x:v>
      </x:c>
      <x:c r="G45" s="69" t="n">
        <x:f>E45/D45</x:f>
        <x:v>0.23699421965317918</x:v>
      </x:c>
      <x:c r="H45" s="70" t="n">
        <x:f>K45/D45/'Gia dinh'!$B$5</x:f>
        <x:v>23.572254335260116</x:v>
      </x:c>
      <x:c r="I45" s="69" t="n">
        <x:f>H45/'Gia dinh'!$B$6</x:f>
        <x:v>0.3367464905037159</x:v>
      </x:c>
      <x:c r="J45" s="69" t="n">
        <x:f>G45-I45</x:f>
        <x:v>-0.09975227085053673</x:v>
      </x:c>
      <x:c r="K45" s="71" t="n">
        <x:v>4078000</x:v>
      </x:c>
      <x:c r="L45" s="71" t="n">
        <x:f>E45*'Gia dinh'!$B$7</x:f>
        <x:v>2870000</x:v>
      </x:c>
      <x:c r="M45" s="80" t="n">
        <x:f>L45-K45</x:f>
        <x:v>-1208000</x:v>
      </x:c>
      <x:c r="N45" s="72" t="n">
        <x:f>M45/K45</x:f>
        <x:v>-0.2962236390387445</x:v>
      </x:c>
      <x:c r="O45" s="66" t="n">
        <x:v>4</x:v>
      </x:c>
      <x:c r="P45" s="66" t="n">
        <x:v>14</x:v>
      </x:c>
      <x:c r="Q45" s="67" t="str">
        <x:f>IF(M45&lt;=0,"Loại",IF(AND(J45&gt;=0.03,P45&lt;=8),"Khuyến nghị","Theo dõi"))</x:f>
        <x:v>Loại</x:v>
      </x:c>
    </x:row>
    <x:row r="46">
      <x:c r="A46" s="66" t="n">
        <x:v>45</x:v>
      </x:c>
      <x:c r="B46" s="67" t="str">
        <x:v>chainFreqFirst</x:v>
      </x:c>
      <x:c r="C46" s="68" t="n">
        <x:v>75</x:v>
      </x:c>
      <x:c r="D46" s="68" t="n">
        <x:v>173</x:v>
      </x:c>
      <x:c r="E46" s="68" t="n">
        <x:v>39</x:v>
      </x:c>
      <x:c r="F46" s="68" t="n">
        <x:v>134</x:v>
      </x:c>
      <x:c r="G46" s="69" t="n">
        <x:f>E46/D46</x:f>
        <x:v>0.2254335260115607</x:v>
      </x:c>
      <x:c r="H46" s="70" t="n">
        <x:f>K46/D46/'Gia dinh'!$B$5</x:f>
        <x:v>23.23121387283237</x:v>
      </x:c>
      <x:c r="I46" s="69" t="n">
        <x:f>H46/'Gia dinh'!$B$6</x:f>
        <x:v>0.33187448389760527</x:v>
      </x:c>
      <x:c r="J46" s="69" t="n">
        <x:f>G46-I46</x:f>
        <x:v>-0.10644095788604457</x:v>
      </x:c>
      <x:c r="K46" s="71" t="n">
        <x:v>4019000</x:v>
      </x:c>
      <x:c r="L46" s="71" t="n">
        <x:f>E46*'Gia dinh'!$B$7</x:f>
        <x:v>2730000</x:v>
      </x:c>
      <x:c r="M46" s="80" t="n">
        <x:f>L46-K46</x:f>
        <x:v>-1289000</x:v>
      </x:c>
      <x:c r="N46" s="72" t="n">
        <x:f>M46/K46</x:f>
        <x:v>-0.32072654889275937</x:v>
      </x:c>
      <x:c r="O46" s="66" t="n">
        <x:v>3</x:v>
      </x:c>
      <x:c r="P46" s="66" t="n">
        <x:v>15</x:v>
      </x:c>
      <x:c r="Q46" s="67" t="str">
        <x:f>IF(M46&lt;=0,"Loại",IF(AND(J46&gt;=0.03,P46&lt;=8),"Khuyến nghị","Theo dõi"))</x:f>
        <x:v>Loại</x:v>
      </x:c>
    </x:row>
    <x:row r="47">
      <x:c r="A47" s="66" t="n">
        <x:v>46</x:v>
      </x:c>
      <x:c r="B47" s="67" t="str">
        <x:v>chainRiskFirst</x:v>
      </x:c>
      <x:c r="C47" s="68" t="n">
        <x:v>75</x:v>
      </x:c>
      <x:c r="D47" s="68" t="n">
        <x:v>173</x:v>
      </x:c>
      <x:c r="E47" s="68" t="n">
        <x:v>39</x:v>
      </x:c>
      <x:c r="F47" s="68" t="n">
        <x:v>134</x:v>
      </x:c>
      <x:c r="G47" s="69" t="n">
        <x:f>E47/D47</x:f>
        <x:v>0.2254335260115607</x:v>
      </x:c>
      <x:c r="H47" s="70" t="n">
        <x:f>K47/D47/'Gia dinh'!$B$5</x:f>
        <x:v>23.23121387283237</x:v>
      </x:c>
      <x:c r="I47" s="69" t="n">
        <x:f>H47/'Gia dinh'!$B$6</x:f>
        <x:v>0.33187448389760527</x:v>
      </x:c>
      <x:c r="J47" s="69" t="n">
        <x:f>G47-I47</x:f>
        <x:v>-0.10644095788604457</x:v>
      </x:c>
      <x:c r="K47" s="71" t="n">
        <x:v>4019000</x:v>
      </x:c>
      <x:c r="L47" s="71" t="n">
        <x:f>E47*'Gia dinh'!$B$7</x:f>
        <x:v>2730000</x:v>
      </x:c>
      <x:c r="M47" s="80" t="n">
        <x:f>L47-K47</x:f>
        <x:v>-1289000</x:v>
      </x:c>
      <x:c r="N47" s="72" t="n">
        <x:f>M47/K47</x:f>
        <x:v>-0.32072654889275937</x:v>
      </x:c>
      <x:c r="O47" s="66" t="n">
        <x:v>3</x:v>
      </x:c>
      <x:c r="P47" s="66" t="n">
        <x:v>15</x:v>
      </x:c>
      <x:c r="Q47" s="67" t="str">
        <x:f>IF(M47&lt;=0,"Loại",IF(AND(J47&gt;=0.03,P47&lt;=8),"Khuyến nghị","Theo dõi"))</x:f>
        <x:v>Loại</x:v>
      </x:c>
    </x:row>
    <x:row r="48">
      <x:c r="A48" s="66" t="n">
        <x:v>47</x:v>
      </x:c>
      <x:c r="B48" s="67" t="str">
        <x:v>chainTier</x:v>
      </x:c>
      <x:c r="C48" s="68" t="n">
        <x:v>65</x:v>
      </x:c>
      <x:c r="D48" s="68" t="n">
        <x:v>173</x:v>
      </x:c>
      <x:c r="E48" s="68" t="n">
        <x:v>65</x:v>
      </x:c>
      <x:c r="F48" s="68" t="n">
        <x:v>108</x:v>
      </x:c>
      <x:c r="G48" s="69" t="n">
        <x:f>E48/D48</x:f>
        <x:v>0.37572254335260113</x:v>
      </x:c>
      <x:c r="H48" s="70" t="n">
        <x:f>K48/D48/'Gia dinh'!$B$5</x:f>
        <x:v>33.83236994219653</x:v>
      </x:c>
      <x:c r="I48" s="69" t="n">
        <x:f>H48/'Gia dinh'!$B$6</x:f>
        <x:v>0.48331957060280756</x:v>
      </x:c>
      <x:c r="J48" s="69" t="n">
        <x:f>G48-I48</x:f>
        <x:v>-0.10759702725020642</x:v>
      </x:c>
      <x:c r="K48" s="71" t="n">
        <x:v>5853000</x:v>
      </x:c>
      <x:c r="L48" s="71" t="n">
        <x:f>E48*'Gia dinh'!$B$7</x:f>
        <x:v>4550000</x:v>
      </x:c>
      <x:c r="M48" s="80" t="n">
        <x:f>L48-K48</x:f>
        <x:v>-1303000</x:v>
      </x:c>
      <x:c r="N48" s="72" t="n">
        <x:f>M48/K48</x:f>
        <x:v>-0.22262087818212883</x:v>
      </x:c>
      <x:c r="O48" s="66" t="n">
        <x:v>5</x:v>
      </x:c>
      <x:c r="P48" s="66" t="n">
        <x:v>10</x:v>
      </x:c>
      <x:c r="Q48" s="67" t="str">
        <x:f>IF(M48&lt;=0,"Loại",IF(AND(J48&gt;=0.03,P48&lt;=8),"Khuyến nghị","Theo dõi"))</x:f>
        <x:v>Loại</x:v>
      </x:c>
    </x:row>
    <x:row r="49">
      <x:c r="A49" s="66" t="n">
        <x:v>48</x:v>
      </x:c>
      <x:c r="B49" s="67" t="str">
        <x:v>activeOnlyAvgRisk</x:v>
      </x:c>
      <x:c r="C49" s="68" t="n">
        <x:v>55</x:v>
      </x:c>
      <x:c r="D49" s="68" t="n">
        <x:v>173</x:v>
      </x:c>
      <x:c r="E49" s="68" t="n">
        <x:v>92</x:v>
      </x:c>
      <x:c r="F49" s="68" t="n">
        <x:v>81</x:v>
      </x:c>
      <x:c r="G49" s="69" t="n">
        <x:f>E49/D49</x:f>
        <x:v>0.5317919075144508</x:v>
      </x:c>
      <x:c r="H49" s="70" t="n">
        <x:f>K49/D49/'Gia dinh'!$B$5</x:f>
        <x:v>45</x:v>
      </x:c>
      <x:c r="I49" s="69" t="n">
        <x:f>H49/'Gia dinh'!$B$6</x:f>
        <x:v>0.6428571428571429</x:v>
      </x:c>
      <x:c r="J49" s="69" t="n">
        <x:f>G49-I49</x:f>
        <x:v>-0.11106523534269208</x:v>
      </x:c>
      <x:c r="K49" s="71" t="n">
        <x:v>7785000</x:v>
      </x:c>
      <x:c r="L49" s="71" t="n">
        <x:f>E49*'Gia dinh'!$B$7</x:f>
        <x:v>6440000</x:v>
      </x:c>
      <x:c r="M49" s="80" t="n">
        <x:f>L49-K49</x:f>
        <x:v>-1345000</x:v>
      </x:c>
      <x:c r="N49" s="72" t="n">
        <x:f>M49/K49</x:f>
        <x:v>-0.17276814386640976</x:v>
      </x:c>
      <x:c r="O49" s="66" t="n">
        <x:v>7</x:v>
      </x:c>
      <x:c r="P49" s="66" t="n">
        <x:v>6</x:v>
      </x:c>
      <x:c r="Q49" s="67" t="str">
        <x:f>IF(M49&lt;=0,"Loại",IF(AND(J49&gt;=0.03,P49&lt;=8),"Khuyến nghị","Theo dõi"))</x:f>
        <x:v>Loại</x:v>
      </x:c>
    </x:row>
    <x:row r="50">
      <x:c r="A50" s="66" t="n">
        <x:v>49</x:v>
      </x:c>
      <x:c r="B50" s="67" t="str">
        <x:v>chainTier</x:v>
      </x:c>
      <x:c r="C50" s="68" t="n">
        <x:v>70</x:v>
      </x:c>
      <x:c r="D50" s="68" t="n">
        <x:v>173</x:v>
      </x:c>
      <x:c r="E50" s="68" t="n">
        <x:v>51</x:v>
      </x:c>
      <x:c r="F50" s="68" t="n">
        <x:v>122</x:v>
      </x:c>
      <x:c r="G50" s="69" t="n">
        <x:f>E50/D50</x:f>
        <x:v>0.2947976878612717</x:v>
      </x:c>
      <x:c r="H50" s="70" t="n">
        <x:f>K50/D50/'Gia dinh'!$B$5</x:f>
        <x:v>28.69942196531792</x:v>
      </x:c>
      <x:c r="I50" s="69" t="n">
        <x:f>H50/'Gia dinh'!$B$6</x:f>
        <x:v>0.40999174236168456</x:v>
      </x:c>
      <x:c r="J50" s="69" t="n">
        <x:f>G50-I50</x:f>
        <x:v>-0.11519405450041287</x:v>
      </x:c>
      <x:c r="K50" s="71" t="n">
        <x:v>4965000</x:v>
      </x:c>
      <x:c r="L50" s="71" t="n">
        <x:f>E50*'Gia dinh'!$B$7</x:f>
        <x:v>3570000</x:v>
      </x:c>
      <x:c r="M50" s="80" t="n">
        <x:f>L50-K50</x:f>
        <x:v>-1395000</x:v>
      </x:c>
      <x:c r="N50" s="72" t="n">
        <x:f>M50/K50</x:f>
        <x:v>-0.2809667673716012</x:v>
      </x:c>
      <x:c r="O50" s="66" t="n">
        <x:v>4</x:v>
      </x:c>
      <x:c r="P50" s="66" t="n">
        <x:v>14</x:v>
      </x:c>
      <x:c r="Q50" s="67" t="str">
        <x:f>IF(M50&lt;=0,"Loại",IF(AND(J50&gt;=0.03,P50&lt;=8),"Khuyến nghị","Theo dõi"))</x:f>
        <x:v>Loại</x:v>
      </x:c>
    </x:row>
    <x:row r="51">
      <x:c r="A51" s="66" t="n">
        <x:v>50</x:v>
      </x:c>
      <x:c r="B51" s="67" t="str">
        <x:v>chainTier</x:v>
      </x:c>
      <x:c r="C51" s="68" t="n">
        <x:v>60</x:v>
      </x:c>
      <x:c r="D51" s="68" t="n">
        <x:v>173</x:v>
      </x:c>
      <x:c r="E51" s="68" t="n">
        <x:v>76</x:v>
      </x:c>
      <x:c r="F51" s="68" t="n">
        <x:v>97</x:v>
      </x:c>
      <x:c r="G51" s="69" t="n">
        <x:f>E51/D51</x:f>
        <x:v>0.4393063583815029</x:v>
      </x:c>
      <x:c r="H51" s="70" t="n">
        <x:f>K51/D51/'Gia dinh'!$B$5</x:f>
        <x:v>38.86705202312139</x:v>
      </x:c>
      <x:c r="I51" s="69" t="n">
        <x:f>H51/'Gia dinh'!$B$6</x:f>
        <x:v>0.5552436003303055</x:v>
      </x:c>
      <x:c r="J51" s="69" t="n">
        <x:f>G51-I51</x:f>
        <x:v>-0.11593724194880262</x:v>
      </x:c>
      <x:c r="K51" s="71" t="n">
        <x:v>6724000</x:v>
      </x:c>
      <x:c r="L51" s="71" t="n">
        <x:f>E51*'Gia dinh'!$B$7</x:f>
        <x:v>5320000</x:v>
      </x:c>
      <x:c r="M51" s="80" t="n">
        <x:f>L51-K51</x:f>
        <x:v>-1404000</x:v>
      </x:c>
      <x:c r="N51" s="72" t="n">
        <x:f>M51/K51</x:f>
        <x:v>-0.20880428316478286</x:v>
      </x:c>
      <x:c r="O51" s="66" t="n">
        <x:v>5</x:v>
      </x:c>
      <x:c r="P51" s="66" t="n">
        <x:v>7</x:v>
      </x:c>
      <x:c r="Q51" s="67" t="str">
        <x:f>IF(M51&lt;=0,"Loại",IF(AND(J51&gt;=0.03,P51&lt;=8),"Khuyến nghị","Theo dõi"))</x:f>
        <x:v>Loại</x:v>
      </x:c>
    </x:row>
    <x:row r="52">
      <x:c r="A52" s="66" t="n">
        <x:v>51</x:v>
      </x:c>
      <x:c r="B52" s="67" t="str">
        <x:v>numberConsensusRisk</x:v>
      </x:c>
      <x:c r="C52" s="68" t="n">
        <x:v>65</x:v>
      </x:c>
      <x:c r="D52" s="68" t="n">
        <x:v>173</x:v>
      </x:c>
      <x:c r="E52" s="68" t="n">
        <x:v>66</x:v>
      </x:c>
      <x:c r="F52" s="68" t="n">
        <x:v>107</x:v>
      </x:c>
      <x:c r="G52" s="69" t="n">
        <x:f>E52/D52</x:f>
        <x:v>0.3815028901734104</x:v>
      </x:c>
      <x:c r="H52" s="70" t="n">
        <x:f>K52/D52/'Gia dinh'!$B$5</x:f>
        <x:v>35</x:v>
      </x:c>
      <x:c r="I52" s="69" t="n">
        <x:f>H52/'Gia dinh'!$B$6</x:f>
        <x:v>0.5</x:v>
      </x:c>
      <x:c r="J52" s="69" t="n">
        <x:f>G52-I52</x:f>
        <x:v>-0.11849710982658962</x:v>
      </x:c>
      <x:c r="K52" s="71" t="n">
        <x:v>6055000</x:v>
      </x:c>
      <x:c r="L52" s="71" t="n">
        <x:f>E52*'Gia dinh'!$B$7</x:f>
        <x:v>4620000</x:v>
      </x:c>
      <x:c r="M52" s="80" t="n">
        <x:f>L52-K52</x:f>
        <x:v>-1435000</x:v>
      </x:c>
      <x:c r="N52" s="72" t="n">
        <x:f>M52/K52</x:f>
        <x:v>-0.23699421965317918</x:v>
      </x:c>
      <x:c r="O52" s="66" t="n">
        <x:v>4</x:v>
      </x:c>
      <x:c r="P52" s="66" t="n">
        <x:v>9</x:v>
      </x:c>
      <x:c r="Q52" s="67" t="str">
        <x:f>IF(M52&lt;=0,"Loại",IF(AND(J52&gt;=0.03,P52&lt;=8),"Khuyến nghị","Theo dõi"))</x:f>
        <x:v>Loại</x:v>
      </x:c>
    </x:row>
    <x:row r="53">
      <x:c r="A53" s="66" t="n">
        <x:v>52</x:v>
      </x:c>
      <x:c r="B53" s="67" t="str">
        <x:v>chainFreqFirst</x:v>
      </x:c>
      <x:c r="C53" s="68" t="n">
        <x:v>70</x:v>
      </x:c>
      <x:c r="D53" s="68" t="n">
        <x:v>173</x:v>
      </x:c>
      <x:c r="E53" s="68" t="n">
        <x:v>47</x:v>
      </x:c>
      <x:c r="F53" s="68" t="n">
        <x:v>126</x:v>
      </x:c>
      <x:c r="G53" s="69" t="n">
        <x:f>E53/D53</x:f>
        <x:v>0.27167630057803466</x:v>
      </x:c>
      <x:c r="H53" s="70" t="n">
        <x:f>K53/D53/'Gia dinh'!$B$5</x:f>
        <x:v>28.236994219653177</x:v>
      </x:c>
      <x:c r="I53" s="69" t="n">
        <x:f>H53/'Gia dinh'!$B$6</x:f>
        <x:v>0.4033856317093311</x:v>
      </x:c>
      <x:c r="J53" s="69" t="n">
        <x:f>G53-I53</x:f>
        <x:v>-0.13170933113129646</x:v>
      </x:c>
      <x:c r="K53" s="71" t="n">
        <x:v>4885000</x:v>
      </x:c>
      <x:c r="L53" s="71" t="n">
        <x:f>E53*'Gia dinh'!$B$7</x:f>
        <x:v>3290000</x:v>
      </x:c>
      <x:c r="M53" s="80" t="n">
        <x:f>L53-K53</x:f>
        <x:v>-1595000</x:v>
      </x:c>
      <x:c r="N53" s="72" t="n">
        <x:f>M53/K53</x:f>
        <x:v>-0.3265097236438076</x:v>
      </x:c>
      <x:c r="O53" s="66" t="n">
        <x:v>3</x:v>
      </x:c>
      <x:c r="P53" s="66" t="n">
        <x:v>14</x:v>
      </x:c>
      <x:c r="Q53" s="67" t="str">
        <x:f>IF(M53&lt;=0,"Loại",IF(AND(J53&gt;=0.03,P53&lt;=8),"Khuyến nghị","Theo dõi"))</x:f>
        <x:v>Loại</x:v>
      </x:c>
    </x:row>
    <x:row r="54">
      <x:c r="A54" s="66" t="n">
        <x:v>53</x:v>
      </x:c>
      <x:c r="B54" s="67" t="str">
        <x:v>chainRiskFirst</x:v>
      </x:c>
      <x:c r="C54" s="68" t="n">
        <x:v>70</x:v>
      </x:c>
      <x:c r="D54" s="68" t="n">
        <x:v>173</x:v>
      </x:c>
      <x:c r="E54" s="68" t="n">
        <x:v>47</x:v>
      </x:c>
      <x:c r="F54" s="68" t="n">
        <x:v>126</x:v>
      </x:c>
      <x:c r="G54" s="69" t="n">
        <x:f>E54/D54</x:f>
        <x:v>0.27167630057803466</x:v>
      </x:c>
      <x:c r="H54" s="70" t="n">
        <x:f>K54/D54/'Gia dinh'!$B$5</x:f>
        <x:v>28.236994219653177</x:v>
      </x:c>
      <x:c r="I54" s="69" t="n">
        <x:f>H54/'Gia dinh'!$B$6</x:f>
        <x:v>0.4033856317093311</x:v>
      </x:c>
      <x:c r="J54" s="69" t="n">
        <x:f>G54-I54</x:f>
        <x:v>-0.13170933113129646</x:v>
      </x:c>
      <x:c r="K54" s="71" t="n">
        <x:v>4885000</x:v>
      </x:c>
      <x:c r="L54" s="71" t="n">
        <x:f>E54*'Gia dinh'!$B$7</x:f>
        <x:v>3290000</x:v>
      </x:c>
      <x:c r="M54" s="80" t="n">
        <x:f>L54-K54</x:f>
        <x:v>-1595000</x:v>
      </x:c>
      <x:c r="N54" s="72" t="n">
        <x:f>M54/K54</x:f>
        <x:v>-0.3265097236438076</x:v>
      </x:c>
      <x:c r="O54" s="66" t="n">
        <x:v>3</x:v>
      </x:c>
      <x:c r="P54" s="66" t="n">
        <x:v>14</x:v>
      </x:c>
      <x:c r="Q54" s="67" t="str">
        <x:f>IF(M54&lt;=0,"Loại",IF(AND(J54&gt;=0.03,P54&lt;=8),"Khuyến nghị","Theo dõi"))</x:f>
        <x:v>Loại</x:v>
      </x:c>
    </x:row>
    <x:row r="55">
      <x:c r="A55" s="66" t="n">
        <x:v>54</x:v>
      </x:c>
      <x:c r="B55" s="67" t="str">
        <x:v>numberAvgRisk</x:v>
      </x:c>
      <x:c r="C55" s="68" t="n">
        <x:v>65</x:v>
      </x:c>
      <x:c r="D55" s="68" t="n">
        <x:v>173</x:v>
      </x:c>
      <x:c r="E55" s="68" t="n">
        <x:v>63</x:v>
      </x:c>
      <x:c r="F55" s="68" t="n">
        <x:v>110</x:v>
      </x:c>
      <x:c r="G55" s="69" t="n">
        <x:f>E55/D55</x:f>
        <x:v>0.36416184971098264</x:v>
      </x:c>
      <x:c r="H55" s="70" t="n">
        <x:f>K55/D55/'Gia dinh'!$B$5</x:f>
        <x:v>35</x:v>
      </x:c>
      <x:c r="I55" s="69" t="n">
        <x:f>H55/'Gia dinh'!$B$6</x:f>
        <x:v>0.5</x:v>
      </x:c>
      <x:c r="J55" s="69" t="n">
        <x:f>G55-I55</x:f>
        <x:v>-0.13583815028901736</x:v>
      </x:c>
      <x:c r="K55" s="71" t="n">
        <x:v>6055000</x:v>
      </x:c>
      <x:c r="L55" s="71" t="n">
        <x:f>E55*'Gia dinh'!$B$7</x:f>
        <x:v>4410000</x:v>
      </x:c>
      <x:c r="M55" s="80" t="n">
        <x:f>L55-K55</x:f>
        <x:v>-1645000</x:v>
      </x:c>
      <x:c r="N55" s="72" t="n">
        <x:f>M55/K55</x:f>
        <x:v>-0.27167630057803466</x:v>
      </x:c>
      <x:c r="O55" s="66" t="n">
        <x:v>4</x:v>
      </x:c>
      <x:c r="P55" s="66" t="n">
        <x:v>9</x:v>
      </x:c>
      <x:c r="Q55" s="67" t="str">
        <x:f>IF(M55&lt;=0,"Loại",IF(AND(J55&gt;=0.03,P55&lt;=8),"Khuyến nghị","Theo dõi"))</x:f>
        <x:v>Loại</x:v>
      </x:c>
    </x:row>
    <x:row r="56">
      <x:c r="A56" s="66" t="n">
        <x:v>55</x:v>
      </x:c>
      <x:c r="B56" s="67" t="str">
        <x:v>numberWeightedRisk</x:v>
      </x:c>
      <x:c r="C56" s="68" t="n">
        <x:v>65</x:v>
      </x:c>
      <x:c r="D56" s="68" t="n">
        <x:v>173</x:v>
      </x:c>
      <x:c r="E56" s="68" t="n">
        <x:v>63</x:v>
      </x:c>
      <x:c r="F56" s="68" t="n">
        <x:v>110</x:v>
      </x:c>
      <x:c r="G56" s="69" t="n">
        <x:f>E56/D56</x:f>
        <x:v>0.36416184971098264</x:v>
      </x:c>
      <x:c r="H56" s="70" t="n">
        <x:f>K56/D56/'Gia dinh'!$B$5</x:f>
        <x:v>35</x:v>
      </x:c>
      <x:c r="I56" s="69" t="n">
        <x:f>H56/'Gia dinh'!$B$6</x:f>
        <x:v>0.5</x:v>
      </x:c>
      <x:c r="J56" s="69" t="n">
        <x:f>G56-I56</x:f>
        <x:v>-0.13583815028901736</x:v>
      </x:c>
      <x:c r="K56" s="71" t="n">
        <x:v>6055000</x:v>
      </x:c>
      <x:c r="L56" s="71" t="n">
        <x:f>E56*'Gia dinh'!$B$7</x:f>
        <x:v>4410000</x:v>
      </x:c>
      <x:c r="M56" s="80" t="n">
        <x:f>L56-K56</x:f>
        <x:v>-1645000</x:v>
      </x:c>
      <x:c r="N56" s="72" t="n">
        <x:f>M56/K56</x:f>
        <x:v>-0.27167630057803466</x:v>
      </x:c>
      <x:c r="O56" s="66" t="n">
        <x:v>4</x:v>
      </x:c>
      <x:c r="P56" s="66" t="n">
        <x:v>9</x:v>
      </x:c>
      <x:c r="Q56" s="67" t="str">
        <x:f>IF(M56&lt;=0,"Loại",IF(AND(J56&gt;=0.03,P56&lt;=8),"Khuyến nghị","Theo dõi"))</x:f>
        <x:v>Loại</x:v>
      </x:c>
    </x:row>
    <x:row r="57">
      <x:c r="A57" s="66" t="n">
        <x:v>56</x:v>
      </x:c>
      <x:c r="B57" s="67" t="str">
        <x:v>numberWeightedRisk</x:v>
      </x:c>
      <x:c r="C57" s="68" t="n">
        <x:v>60</x:v>
      </x:c>
      <x:c r="D57" s="68" t="n">
        <x:v>173</x:v>
      </x:c>
      <x:c r="E57" s="68" t="n">
        <x:v>75</x:v>
      </x:c>
      <x:c r="F57" s="68" t="n">
        <x:v>98</x:v>
      </x:c>
      <x:c r="G57" s="69" t="n">
        <x:f>E57/D57</x:f>
        <x:v>0.43352601156069365</x:v>
      </x:c>
      <x:c r="H57" s="70" t="n">
        <x:f>K57/D57/'Gia dinh'!$B$5</x:f>
        <x:v>40</x:v>
      </x:c>
      <x:c r="I57" s="69" t="n">
        <x:f>H57/'Gia dinh'!$B$6</x:f>
        <x:v>0.5714285714285714</x:v>
      </x:c>
      <x:c r="J57" s="69" t="n">
        <x:f>G57-I57</x:f>
        <x:v>-0.13790255986787775</x:v>
      </x:c>
      <x:c r="K57" s="71" t="n">
        <x:v>6920000</x:v>
      </x:c>
      <x:c r="L57" s="71" t="n">
        <x:f>E57*'Gia dinh'!$B$7</x:f>
        <x:v>5250000</x:v>
      </x:c>
      <x:c r="M57" s="80" t="n">
        <x:f>L57-K57</x:f>
        <x:v>-1670000</x:v>
      </x:c>
      <x:c r="N57" s="72" t="n">
        <x:f>M57/K57</x:f>
        <x:v>-0.24132947976878613</x:v>
      </x:c>
      <x:c r="O57" s="66" t="n">
        <x:v>6</x:v>
      </x:c>
      <x:c r="P57" s="66" t="n">
        <x:v>9</x:v>
      </x:c>
      <x:c r="Q57" s="67" t="str">
        <x:f>IF(M57&lt;=0,"Loại",IF(AND(J57&gt;=0.03,P57&lt;=8),"Khuyến nghị","Theo dõi"))</x:f>
        <x:v>Loại</x:v>
      </x:c>
    </x:row>
    <x:row r="58">
      <x:c r="A58" s="66" t="n">
        <x:v>57</x:v>
      </x:c>
      <x:c r="B58" s="67" t="str">
        <x:v>chainFreqFirst</x:v>
      </x:c>
      <x:c r="C58" s="68" t="n">
        <x:v>60</x:v>
      </x:c>
      <x:c r="D58" s="68" t="n">
        <x:v>173</x:v>
      </x:c>
      <x:c r="E58" s="68" t="n">
        <x:v>71</x:v>
      </x:c>
      <x:c r="F58" s="68" t="n">
        <x:v>102</x:v>
      </x:c>
      <x:c r="G58" s="69" t="n">
        <x:f>E58/D58</x:f>
        <x:v>0.41040462427745666</x:v>
      </x:c>
      <x:c r="H58" s="70" t="n">
        <x:f>K58/D58/'Gia dinh'!$B$5</x:f>
        <x:v>38.71098265895954</x:v>
      </x:c>
      <x:c r="I58" s="69" t="n">
        <x:f>H58/'Gia dinh'!$B$6</x:f>
        <x:v>0.5530140379851363</x:v>
      </x:c>
      <x:c r="J58" s="69" t="n">
        <x:f>G58-I58</x:f>
        <x:v>-0.1426094137076796</x:v>
      </x:c>
      <x:c r="K58" s="71" t="n">
        <x:v>6697000</x:v>
      </x:c>
      <x:c r="L58" s="71" t="n">
        <x:f>E58*'Gia dinh'!$B$7</x:f>
        <x:v>4970000</x:v>
      </x:c>
      <x:c r="M58" s="80" t="n">
        <x:f>L58-K58</x:f>
        <x:v>-1727000</x:v>
      </x:c>
      <x:c r="N58" s="72" t="n">
        <x:f>M58/K58</x:f>
        <x:v>-0.2578766611915783</x:v>
      </x:c>
      <x:c r="O58" s="66" t="n">
        <x:v>4</x:v>
      </x:c>
      <x:c r="P58" s="66" t="n">
        <x:v>10</x:v>
      </x:c>
      <x:c r="Q58" s="67" t="str">
        <x:f>IF(M58&lt;=0,"Loại",IF(AND(J58&gt;=0.03,P58&lt;=8),"Khuyến nghị","Theo dõi"))</x:f>
        <x:v>Loại</x:v>
      </x:c>
    </x:row>
    <x:row r="59">
      <x:c r="A59" s="66" t="n">
        <x:v>58</x:v>
      </x:c>
      <x:c r="B59" s="67" t="str">
        <x:v>chainRiskFirst</x:v>
      </x:c>
      <x:c r="C59" s="68" t="n">
        <x:v>60</x:v>
      </x:c>
      <x:c r="D59" s="68" t="n">
        <x:v>173</x:v>
      </x:c>
      <x:c r="E59" s="68" t="n">
        <x:v>71</x:v>
      </x:c>
      <x:c r="F59" s="68" t="n">
        <x:v>102</x:v>
      </x:c>
      <x:c r="G59" s="69" t="n">
        <x:f>E59/D59</x:f>
        <x:v>0.41040462427745666</x:v>
      </x:c>
      <x:c r="H59" s="70" t="n">
        <x:f>K59/D59/'Gia dinh'!$B$5</x:f>
        <x:v>38.71098265895954</x:v>
      </x:c>
      <x:c r="I59" s="69" t="n">
        <x:f>H59/'Gia dinh'!$B$6</x:f>
        <x:v>0.5530140379851363</x:v>
      </x:c>
      <x:c r="J59" s="69" t="n">
        <x:f>G59-I59</x:f>
        <x:v>-0.1426094137076796</x:v>
      </x:c>
      <x:c r="K59" s="71" t="n">
        <x:v>6697000</x:v>
      </x:c>
      <x:c r="L59" s="71" t="n">
        <x:f>E59*'Gia dinh'!$B$7</x:f>
        <x:v>4970000</x:v>
      </x:c>
      <x:c r="M59" s="80" t="n">
        <x:f>L59-K59</x:f>
        <x:v>-1727000</x:v>
      </x:c>
      <x:c r="N59" s="72" t="n">
        <x:f>M59/K59</x:f>
        <x:v>-0.2578766611915783</x:v>
      </x:c>
      <x:c r="O59" s="66" t="n">
        <x:v>4</x:v>
      </x:c>
      <x:c r="P59" s="66" t="n">
        <x:v>10</x:v>
      </x:c>
      <x:c r="Q59" s="67" t="str">
        <x:f>IF(M59&lt;=0,"Loại",IF(AND(J59&gt;=0.03,P59&lt;=8),"Khuyến nghị","Theo dõi"))</x:f>
        <x:v>Loại</x:v>
      </x:c>
    </x:row>
    <x:row r="60">
      <x:c r="A60" s="66" t="n">
        <x:v>59</x:v>
      </x:c>
      <x:c r="B60" s="67" t="str">
        <x:v>chainTier</x:v>
      </x:c>
      <x:c r="C60" s="68" t="n">
        <x:v>55</x:v>
      </x:c>
      <x:c r="D60" s="68" t="n">
        <x:v>173</x:v>
      </x:c>
      <x:c r="E60" s="68" t="n">
        <x:v>83</x:v>
      </x:c>
      <x:c r="F60" s="68" t="n">
        <x:v>90</x:v>
      </x:c>
      <x:c r="G60" s="69" t="n">
        <x:f>E60/D60</x:f>
        <x:v>0.4797687861271676</x:v>
      </x:c>
      <x:c r="H60" s="70" t="n">
        <x:f>K60/D60/'Gia dinh'!$B$5</x:f>
        <x:v>43.57225433526011</x:v>
      </x:c>
      <x:c r="I60" s="69" t="n">
        <x:f>H60/'Gia dinh'!$B$6</x:f>
        <x:v>0.6224607762180016</x:v>
      </x:c>
      <x:c r="J60" s="69" t="n">
        <x:f>G60-I60</x:f>
        <x:v>-0.14269199009083394</x:v>
      </x:c>
      <x:c r="K60" s="71" t="n">
        <x:v>7538000</x:v>
      </x:c>
      <x:c r="L60" s="71" t="n">
        <x:f>E60*'Gia dinh'!$B$7</x:f>
        <x:v>5810000</x:v>
      </x:c>
      <x:c r="M60" s="80" t="n">
        <x:f>L60-K60</x:f>
        <x:v>-1728000</x:v>
      </x:c>
      <x:c r="N60" s="72" t="n">
        <x:f>M60/K60</x:f>
        <x:v>-0.2292385248076413</x:v>
      </x:c>
      <x:c r="O60" s="66" t="n">
        <x:v>9</x:v>
      </x:c>
      <x:c r="P60" s="66" t="n">
        <x:v>5</x:v>
      </x:c>
      <x:c r="Q60" s="67" t="str">
        <x:f>IF(M60&lt;=0,"Loại",IF(AND(J60&gt;=0.03,P60&lt;=8),"Khuyến nghị","Theo dõi"))</x:f>
        <x:v>Loại</x:v>
      </x:c>
    </x:row>
    <x:row r="61">
      <x:c r="A61" s="66" t="n">
        <x:v>60</x:v>
      </x:c>
      <x:c r="B61" s="67" t="str">
        <x:v>chainTier</x:v>
      </x:c>
      <x:c r="C61" s="68" t="n">
        <x:v>50</x:v>
      </x:c>
      <x:c r="D61" s="68" t="n">
        <x:v>173</x:v>
      </x:c>
      <x:c r="E61" s="68" t="n">
        <x:v>94</x:v>
      </x:c>
      <x:c r="F61" s="68" t="n">
        <x:v>79</x:v>
      </x:c>
      <x:c r="G61" s="69" t="n">
        <x:f>E61/D61</x:f>
        <x:v>0.5433526011560693</x:v>
      </x:c>
      <x:c r="H61" s="70" t="n">
        <x:f>K61/D61/'Gia dinh'!$B$5</x:f>
        <x:v>48.16184971098266</x:v>
      </x:c>
      <x:c r="I61" s="69" t="n">
        <x:f>H61/'Gia dinh'!$B$6</x:f>
        <x:v>0.6880264244426094</x:v>
      </x:c>
      <x:c r="J61" s="69" t="n">
        <x:f>G61-I61</x:f>
        <x:v>-0.1446738232865401</x:v>
      </x:c>
      <x:c r="K61" s="71" t="n">
        <x:v>8332000</x:v>
      </x:c>
      <x:c r="L61" s="71" t="n">
        <x:f>E61*'Gia dinh'!$B$7</x:f>
        <x:v>6580000</x:v>
      </x:c>
      <x:c r="M61" s="80" t="n">
        <x:f>L61-K61</x:f>
        <x:v>-1752000</x:v>
      </x:c>
      <x:c r="N61" s="72" t="n">
        <x:f>M61/K61</x:f>
        <x:v>-0.21027364378300528</x:v>
      </x:c>
      <x:c r="O61" s="66" t="n">
        <x:v>10</x:v>
      </x:c>
      <x:c r="P61" s="66" t="n">
        <x:v>3</x:v>
      </x:c>
      <x:c r="Q61" s="67" t="str">
        <x:f>IF(M61&lt;=0,"Loại",IF(AND(J61&gt;=0.03,P61&lt;=8),"Khuyến nghị","Theo dõi"))</x:f>
        <x:v>Loại</x:v>
      </x:c>
    </x:row>
    <x:row r="62">
      <x:c r="A62" s="66" t="n">
        <x:v>61</x:v>
      </x:c>
      <x:c r="B62" s="67" t="str">
        <x:v>activeOnlyAvgRisk</x:v>
      </x:c>
      <x:c r="C62" s="68" t="n">
        <x:v>50</x:v>
      </x:c>
      <x:c r="D62" s="68" t="n">
        <x:v>173</x:v>
      </x:c>
      <x:c r="E62" s="68" t="n">
        <x:v>98</x:v>
      </x:c>
      <x:c r="F62" s="68" t="n">
        <x:v>75</x:v>
      </x:c>
      <x:c r="G62" s="69" t="n">
        <x:f>E62/D62</x:f>
        <x:v>0.5664739884393064</x:v>
      </x:c>
      <x:c r="H62" s="70" t="n">
        <x:f>K62/D62/'Gia dinh'!$B$5</x:f>
        <x:v>50</x:v>
      </x:c>
      <x:c r="I62" s="69" t="n">
        <x:f>H62/'Gia dinh'!$B$6</x:f>
        <x:v>0.7142857142857143</x:v>
      </x:c>
      <x:c r="J62" s="69" t="n">
        <x:f>G62-I62</x:f>
        <x:v>-0.1478117258464079</x:v>
      </x:c>
      <x:c r="K62" s="71" t="n">
        <x:v>8650000</x:v>
      </x:c>
      <x:c r="L62" s="71" t="n">
        <x:f>E62*'Gia dinh'!$B$7</x:f>
        <x:v>6860000</x:v>
      </x:c>
      <x:c r="M62" s="80" t="n">
        <x:f>L62-K62</x:f>
        <x:v>-1790000</x:v>
      </x:c>
      <x:c r="N62" s="72" t="n">
        <x:f>M62/K62</x:f>
        <x:v>-0.2069364161849711</x:v>
      </x:c>
      <x:c r="O62" s="66" t="n">
        <x:v>8</x:v>
      </x:c>
      <x:c r="P62" s="66" t="n">
        <x:v>5</x:v>
      </x:c>
      <x:c r="Q62" s="67" t="str">
        <x:f>IF(M62&lt;=0,"Loại",IF(AND(J62&gt;=0.03,P62&lt;=8),"Khuyến nghị","Theo dõi"))</x:f>
        <x:v>Loại</x:v>
      </x:c>
    </x:row>
    <x:row r="63">
      <x:c r="A63" s="66" t="n">
        <x:v>62</x:v>
      </x:c>
      <x:c r="B63" s="67" t="str">
        <x:v>numberConsensusRisk</x:v>
      </x:c>
      <x:c r="C63" s="68" t="n">
        <x:v>60</x:v>
      </x:c>
      <x:c r="D63" s="68" t="n">
        <x:v>173</x:v>
      </x:c>
      <x:c r="E63" s="68" t="n">
        <x:v>73</x:v>
      </x:c>
      <x:c r="F63" s="68" t="n">
        <x:v>100</x:v>
      </x:c>
      <x:c r="G63" s="69" t="n">
        <x:f>E63/D63</x:f>
        <x:v>0.42196531791907516</x:v>
      </x:c>
      <x:c r="H63" s="70" t="n">
        <x:f>K63/D63/'Gia dinh'!$B$5</x:f>
        <x:v>40</x:v>
      </x:c>
      <x:c r="I63" s="69" t="n">
        <x:f>H63/'Gia dinh'!$B$6</x:f>
        <x:v>0.5714285714285714</x:v>
      </x:c>
      <x:c r="J63" s="69" t="n">
        <x:f>G63-I63</x:f>
        <x:v>-0.14946325350949624</x:v>
      </x:c>
      <x:c r="K63" s="71" t="n">
        <x:v>6920000</x:v>
      </x:c>
      <x:c r="L63" s="71" t="n">
        <x:f>E63*'Gia dinh'!$B$7</x:f>
        <x:v>5110000</x:v>
      </x:c>
      <x:c r="M63" s="80" t="n">
        <x:f>L63-K63</x:f>
        <x:v>-1810000</x:v>
      </x:c>
      <x:c r="N63" s="72" t="n">
        <x:f>M63/K63</x:f>
        <x:v>-0.2615606936416185</x:v>
      </x:c>
      <x:c r="O63" s="66" t="n">
        <x:v>5</x:v>
      </x:c>
      <x:c r="P63" s="66" t="n">
        <x:v>9</x:v>
      </x:c>
      <x:c r="Q63" s="67" t="str">
        <x:f>IF(M63&lt;=0,"Loại",IF(AND(J63&gt;=0.03,P63&lt;=8),"Khuyến nghị","Theo dõi"))</x:f>
        <x:v>Loại</x:v>
      </x:c>
    </x:row>
    <x:row r="64">
      <x:c r="A64" s="66" t="n">
        <x:v>63</x:v>
      </x:c>
      <x:c r="B64" s="67" t="str">
        <x:v>numberAvgRisk</x:v>
      </x:c>
      <x:c r="C64" s="68" t="n">
        <x:v>55</x:v>
      </x:c>
      <x:c r="D64" s="68" t="n">
        <x:v>173</x:v>
      </x:c>
      <x:c r="E64" s="68" t="n">
        <x:v>84</x:v>
      </x:c>
      <x:c r="F64" s="68" t="n">
        <x:v>89</x:v>
      </x:c>
      <x:c r="G64" s="69" t="n">
        <x:f>E64/D64</x:f>
        <x:v>0.48554913294797686</x:v>
      </x:c>
      <x:c r="H64" s="70" t="n">
        <x:f>K64/D64/'Gia dinh'!$B$5</x:f>
        <x:v>45</x:v>
      </x:c>
      <x:c r="I64" s="69" t="n">
        <x:f>H64/'Gia dinh'!$B$6</x:f>
        <x:v>0.6428571428571429</x:v>
      </x:c>
      <x:c r="J64" s="69" t="n">
        <x:f>G64-I64</x:f>
        <x:v>-0.15730800990916605</x:v>
      </x:c>
      <x:c r="K64" s="71" t="n">
        <x:v>7785000</x:v>
      </x:c>
      <x:c r="L64" s="71" t="n">
        <x:f>E64*'Gia dinh'!$B$7</x:f>
        <x:v>5880000</x:v>
      </x:c>
      <x:c r="M64" s="80" t="n">
        <x:f>L64-K64</x:f>
        <x:v>-1905000</x:v>
      </x:c>
      <x:c r="N64" s="72" t="n">
        <x:f>M64/K64</x:f>
        <x:v>-0.24470134874759153</x:v>
      </x:c>
      <x:c r="O64" s="66" t="n">
        <x:v>6</x:v>
      </x:c>
      <x:c r="P64" s="66" t="n">
        <x:v>8</x:v>
      </x:c>
      <x:c r="Q64" s="67" t="str">
        <x:f>IF(M64&lt;=0,"Loại",IF(AND(J64&gt;=0.03,P64&lt;=8),"Khuyến nghị","Theo dõi"))</x:f>
        <x:v>Loại</x:v>
      </x:c>
    </x:row>
    <x:row r="65">
      <x:c r="A65" s="66" t="n">
        <x:v>64</x:v>
      </x:c>
      <x:c r="B65" s="67" t="str">
        <x:v>chainFreqFirst</x:v>
      </x:c>
      <x:c r="C65" s="68" t="n">
        <x:v>65</x:v>
      </x:c>
      <x:c r="D65" s="68" t="n">
        <x:v>173</x:v>
      </x:c>
      <x:c r="E65" s="68" t="n">
        <x:v>56</x:v>
      </x:c>
      <x:c r="F65" s="68" t="n">
        <x:v>117</x:v>
      </x:c>
      <x:c r="G65" s="69" t="n">
        <x:f>E65/D65</x:f>
        <x:v>0.3236994219653179</x:v>
      </x:c>
      <x:c r="H65" s="70" t="n">
        <x:f>K65/D65/'Gia dinh'!$B$5</x:f>
        <x:v>33.68208092485549</x:v>
      </x:c>
      <x:c r="I65" s="69" t="n">
        <x:f>H65/'Gia dinh'!$B$6</x:f>
        <x:v>0.4811725846407927</x:v>
      </x:c>
      <x:c r="J65" s="69" t="n">
        <x:f>G65-I65</x:f>
        <x:v>-0.1574731626754748</x:v>
      </x:c>
      <x:c r="K65" s="71" t="n">
        <x:v>5827000</x:v>
      </x:c>
      <x:c r="L65" s="71" t="n">
        <x:f>E65*'Gia dinh'!$B$7</x:f>
        <x:v>3920000</x:v>
      </x:c>
      <x:c r="M65" s="80" t="n">
        <x:f>L65-K65</x:f>
        <x:v>-1907000</x:v>
      </x:c>
      <x:c r="N65" s="72" t="n">
        <x:f>M65/K65</x:f>
        <x:v>-0.3272696070018878</x:v>
      </x:c>
      <x:c r="O65" s="66" t="n">
        <x:v>4</x:v>
      </x:c>
      <x:c r="P65" s="66" t="n">
        <x:v>13</x:v>
      </x:c>
      <x:c r="Q65" s="67" t="str">
        <x:f>IF(M65&lt;=0,"Loại",IF(AND(J65&gt;=0.03,P65&lt;=8),"Khuyến nghị","Theo dõi"))</x:f>
        <x:v>Loại</x:v>
      </x:c>
    </x:row>
    <x:row r="66">
      <x:c r="A66" s="66" t="n">
        <x:v>65</x:v>
      </x:c>
      <x:c r="B66" s="67" t="str">
        <x:v>chainRiskFirst</x:v>
      </x:c>
      <x:c r="C66" s="68" t="n">
        <x:v>65</x:v>
      </x:c>
      <x:c r="D66" s="68" t="n">
        <x:v>173</x:v>
      </x:c>
      <x:c r="E66" s="68" t="n">
        <x:v>56</x:v>
      </x:c>
      <x:c r="F66" s="68" t="n">
        <x:v>117</x:v>
      </x:c>
      <x:c r="G66" s="69" t="n">
        <x:f>E66/D66</x:f>
        <x:v>0.3236994219653179</x:v>
      </x:c>
      <x:c r="H66" s="70" t="n">
        <x:f>K66/D66/'Gia dinh'!$B$5</x:f>
        <x:v>33.68208092485549</x:v>
      </x:c>
      <x:c r="I66" s="69" t="n">
        <x:f>H66/'Gia dinh'!$B$6</x:f>
        <x:v>0.4811725846407927</x:v>
      </x:c>
      <x:c r="J66" s="69" t="n">
        <x:f>G66-I66</x:f>
        <x:v>-0.1574731626754748</x:v>
      </x:c>
      <x:c r="K66" s="71" t="n">
        <x:v>5827000</x:v>
      </x:c>
      <x:c r="L66" s="71" t="n">
        <x:f>E66*'Gia dinh'!$B$7</x:f>
        <x:v>3920000</x:v>
      </x:c>
      <x:c r="M66" s="80" t="n">
        <x:f>L66-K66</x:f>
        <x:v>-1907000</x:v>
      </x:c>
      <x:c r="N66" s="72" t="n">
        <x:f>M66/K66</x:f>
        <x:v>-0.3272696070018878</x:v>
      </x:c>
      <x:c r="O66" s="66" t="n">
        <x:v>4</x:v>
      </x:c>
      <x:c r="P66" s="66" t="n">
        <x:v>13</x:v>
      </x:c>
      <x:c r="Q66" s="67" t="str">
        <x:f>IF(M66&lt;=0,"Loại",IF(AND(J66&gt;=0.03,P66&lt;=8),"Khuyến nghị","Theo dõi"))</x:f>
        <x:v>Loại</x:v>
      </x:c>
    </x:row>
    <x:row r="67">
      <x:c r="A67" s="66" t="n">
        <x:v>66</x:v>
      </x:c>
      <x:c r="B67" s="67" t="str">
        <x:v>numberAvgRisk</x:v>
      </x:c>
      <x:c r="C67" s="68" t="n">
        <x:v>60</x:v>
      </x:c>
      <x:c r="D67" s="68" t="n">
        <x:v>173</x:v>
      </x:c>
      <x:c r="E67" s="68" t="n">
        <x:v>71</x:v>
      </x:c>
      <x:c r="F67" s="68" t="n">
        <x:v>102</x:v>
      </x:c>
      <x:c r="G67" s="69" t="n">
        <x:f>E67/D67</x:f>
        <x:v>0.41040462427745666</x:v>
      </x:c>
      <x:c r="H67" s="70" t="n">
        <x:f>K67/D67/'Gia dinh'!$B$5</x:f>
        <x:v>40</x:v>
      </x:c>
      <x:c r="I67" s="69" t="n">
        <x:f>H67/'Gia dinh'!$B$6</x:f>
        <x:v>0.5714285714285714</x:v>
      </x:c>
      <x:c r="J67" s="69" t="n">
        <x:f>G67-I67</x:f>
        <x:v>-0.16102394715111473</x:v>
      </x:c>
      <x:c r="K67" s="71" t="n">
        <x:v>6920000</x:v>
      </x:c>
      <x:c r="L67" s="71" t="n">
        <x:f>E67*'Gia dinh'!$B$7</x:f>
        <x:v>4970000</x:v>
      </x:c>
      <x:c r="M67" s="80" t="n">
        <x:f>L67-K67</x:f>
        <x:v>-1950000</x:v>
      </x:c>
      <x:c r="N67" s="72" t="n">
        <x:f>M67/K67</x:f>
        <x:v>-0.2817919075144509</x:v>
      </x:c>
      <x:c r="O67" s="66" t="n">
        <x:v>4</x:v>
      </x:c>
      <x:c r="P67" s="66" t="n">
        <x:v>9</x:v>
      </x:c>
      <x:c r="Q67" s="67" t="str">
        <x:f>IF(M67&lt;=0,"Loại",IF(AND(J67&gt;=0.03,P67&lt;=8),"Khuyến nghị","Theo dõi"))</x:f>
        <x:v>Loại</x:v>
      </x:c>
    </x:row>
    <x:row r="68">
      <x:c r="A68" s="66" t="n">
        <x:v>67</x:v>
      </x:c>
      <x:c r="B68" s="67" t="str">
        <x:v>numberConsensusRisk</x:v>
      </x:c>
      <x:c r="C68" s="68" t="n">
        <x:v>55</x:v>
      </x:c>
      <x:c r="D68" s="68" t="n">
        <x:v>173</x:v>
      </x:c>
      <x:c r="E68" s="68" t="n">
        <x:v>83</x:v>
      </x:c>
      <x:c r="F68" s="68" t="n">
        <x:v>90</x:v>
      </x:c>
      <x:c r="G68" s="69" t="n">
        <x:f>E68/D68</x:f>
        <x:v>0.4797687861271676</x:v>
      </x:c>
      <x:c r="H68" s="70" t="n">
        <x:f>K68/D68/'Gia dinh'!$B$5</x:f>
        <x:v>45</x:v>
      </x:c>
      <x:c r="I68" s="69" t="n">
        <x:f>H68/'Gia dinh'!$B$6</x:f>
        <x:v>0.6428571428571429</x:v>
      </x:c>
      <x:c r="J68" s="69" t="n">
        <x:f>G68-I68</x:f>
        <x:v>-0.1630883567299753</x:v>
      </x:c>
      <x:c r="K68" s="71" t="n">
        <x:v>7785000</x:v>
      </x:c>
      <x:c r="L68" s="71" t="n">
        <x:f>E68*'Gia dinh'!$B$7</x:f>
        <x:v>5810000</x:v>
      </x:c>
      <x:c r="M68" s="80" t="n">
        <x:f>L68-K68</x:f>
        <x:v>-1975000</x:v>
      </x:c>
      <x:c r="N68" s="72" t="n">
        <x:f>M68/K68</x:f>
        <x:v>-0.25369299935773926</x:v>
      </x:c>
      <x:c r="O68" s="66" t="n">
        <x:v>6</x:v>
      </x:c>
      <x:c r="P68" s="66" t="n">
        <x:v>8</x:v>
      </x:c>
      <x:c r="Q68" s="67" t="str">
        <x:f>IF(M68&lt;=0,"Loại",IF(AND(J68&gt;=0.03,P68&lt;=8),"Khuyến nghị","Theo dõi"))</x:f>
        <x:v>Loại</x:v>
      </x:c>
    </x:row>
    <x:row r="69">
      <x:c r="A69" s="66" t="n">
        <x:v>68</x:v>
      </x:c>
      <x:c r="B69" s="67" t="str">
        <x:v>numberWeightedRisk</x:v>
      </x:c>
      <x:c r="C69" s="68" t="n">
        <x:v>55</x:v>
      </x:c>
      <x:c r="D69" s="68" t="n">
        <x:v>173</x:v>
      </x:c>
      <x:c r="E69" s="68" t="n">
        <x:v>83</x:v>
      </x:c>
      <x:c r="F69" s="68" t="n">
        <x:v>90</x:v>
      </x:c>
      <x:c r="G69" s="69" t="n">
        <x:f>E69/D69</x:f>
        <x:v>0.4797687861271676</x:v>
      </x:c>
      <x:c r="H69" s="70" t="n">
        <x:f>K69/D69/'Gia dinh'!$B$5</x:f>
        <x:v>45</x:v>
      </x:c>
      <x:c r="I69" s="69" t="n">
        <x:f>H69/'Gia dinh'!$B$6</x:f>
        <x:v>0.6428571428571429</x:v>
      </x:c>
      <x:c r="J69" s="69" t="n">
        <x:f>G69-I69</x:f>
        <x:v>-0.1630883567299753</x:v>
      </x:c>
      <x:c r="K69" s="71" t="n">
        <x:v>7785000</x:v>
      </x:c>
      <x:c r="L69" s="71" t="n">
        <x:f>E69*'Gia dinh'!$B$7</x:f>
        <x:v>5810000</x:v>
      </x:c>
      <x:c r="M69" s="80" t="n">
        <x:f>L69-K69</x:f>
        <x:v>-1975000</x:v>
      </x:c>
      <x:c r="N69" s="72" t="n">
        <x:f>M69/K69</x:f>
        <x:v>-0.25369299935773926</x:v>
      </x:c>
      <x:c r="O69" s="66" t="n">
        <x:v>6</x:v>
      </x:c>
      <x:c r="P69" s="66" t="n">
        <x:v>8</x:v>
      </x:c>
      <x:c r="Q69" s="67" t="str">
        <x:f>IF(M69&lt;=0,"Loại",IF(AND(J69&gt;=0.03,P69&lt;=8),"Khuyến nghị","Theo dõi"))</x:f>
        <x:v>Loại</x:v>
      </x:c>
    </x:row>
    <x:row r="70">
      <x:c r="A70" s="66" t="n">
        <x:v>69</x:v>
      </x:c>
      <x:c r="B70" s="67" t="str">
        <x:v>activeOnlyAvgRisk</x:v>
      </x:c>
      <x:c r="C70" s="68" t="n">
        <x:v>45</x:v>
      </x:c>
      <x:c r="D70" s="68" t="n">
        <x:v>173</x:v>
      </x:c>
      <x:c r="E70" s="68" t="n">
        <x:v>107</x:v>
      </x:c>
      <x:c r="F70" s="68" t="n">
        <x:v>66</x:v>
      </x:c>
      <x:c r="G70" s="69" t="n">
        <x:f>E70/D70</x:f>
        <x:v>0.6184971098265896</x:v>
      </x:c>
      <x:c r="H70" s="70" t="n">
        <x:f>K70/D70/'Gia dinh'!$B$5</x:f>
        <x:v>55</x:v>
      </x:c>
      <x:c r="I70" s="69" t="n">
        <x:f>H70/'Gia dinh'!$B$6</x:f>
        <x:v>0.7857142857142857</x:v>
      </x:c>
      <x:c r="J70" s="69" t="n">
        <x:f>G70-I70</x:f>
        <x:v>-0.16721717588769613</x:v>
      </x:c>
      <x:c r="K70" s="71" t="n">
        <x:v>9515000</x:v>
      </x:c>
      <x:c r="L70" s="71" t="n">
        <x:f>E70*'Gia dinh'!$B$7</x:f>
        <x:v>7490000</x:v>
      </x:c>
      <x:c r="M70" s="80" t="n">
        <x:f>L70-K70</x:f>
        <x:v>-2025000</x:v>
      </x:c>
      <x:c r="N70" s="72" t="n">
        <x:f>M70/K70</x:f>
        <x:v>-0.21282186022070415</x:v>
      </x:c>
      <x:c r="O70" s="66" t="n">
        <x:v>10</x:v>
      </x:c>
      <x:c r="P70" s="66" t="n">
        <x:v>5</x:v>
      </x:c>
      <x:c r="Q70" s="67" t="str">
        <x:f>IF(M70&lt;=0,"Loại",IF(AND(J70&gt;=0.03,P70&lt;=8),"Khuyến nghị","Theo dõi"))</x:f>
        <x:v>Loại</x:v>
      </x:c>
    </x:row>
    <x:row r="71">
      <x:c r="A71" s="66" t="n">
        <x:v>70</x:v>
      </x:c>
      <x:c r="B71" s="67" t="str">
        <x:v>chainTier</x:v>
      </x:c>
      <x:c r="C71" s="68" t="n">
        <x:v>45</x:v>
      </x:c>
      <x:c r="D71" s="68" t="n">
        <x:v>173</x:v>
      </x:c>
      <x:c r="E71" s="68" t="n">
        <x:v>102</x:v>
      </x:c>
      <x:c r="F71" s="68" t="n">
        <x:v>71</x:v>
      </x:c>
      <x:c r="G71" s="69" t="n">
        <x:f>E71/D71</x:f>
        <x:v>0.5895953757225434</x:v>
      </x:c>
      <x:c r="H71" s="70" t="n">
        <x:f>K71/D71/'Gia dinh'!$B$5</x:f>
        <x:v>53.09826589595376</x:v>
      </x:c>
      <x:c r="I71" s="69" t="n">
        <x:f>H71/'Gia dinh'!$B$6</x:f>
        <x:v>0.7585466556564823</x:v>
      </x:c>
      <x:c r="J71" s="69" t="n">
        <x:f>G71-I71</x:f>
        <x:v>-0.16895127993393888</x:v>
      </x:c>
      <x:c r="K71" s="71" t="n">
        <x:v>9186000</x:v>
      </x:c>
      <x:c r="L71" s="71" t="n">
        <x:f>E71*'Gia dinh'!$B$7</x:f>
        <x:v>7140000</x:v>
      </x:c>
      <x:c r="M71" s="80" t="n">
        <x:f>L71-K71</x:f>
        <x:v>-2046000</x:v>
      </x:c>
      <x:c r="N71" s="72" t="n">
        <x:f>M71/K71</x:f>
        <x:v>-0.22273024167210972</x:v>
      </x:c>
      <x:c r="O71" s="66" t="n">
        <x:v>11</x:v>
      </x:c>
      <x:c r="P71" s="66" t="n">
        <x:v>3</x:v>
      </x:c>
      <x:c r="Q71" s="67" t="str">
        <x:f>IF(M71&lt;=0,"Loại",IF(AND(J71&gt;=0.03,P71&lt;=8),"Khuyến nghị","Theo dõi"))</x:f>
        <x:v>Loại</x:v>
      </x:c>
    </x:row>
    <x:row r="72">
      <x:c r="A72" s="66" t="n">
        <x:v>71</x:v>
      </x:c>
      <x:c r="B72" s="67" t="str">
        <x:v>chainFreqFirst</x:v>
      </x:c>
      <x:c r="C72" s="68" t="n">
        <x:v>55</x:v>
      </x:c>
      <x:c r="D72" s="68" t="n">
        <x:v>173</x:v>
      </x:c>
      <x:c r="E72" s="68" t="n">
        <x:v>79</x:v>
      </x:c>
      <x:c r="F72" s="68" t="n">
        <x:v>94</x:v>
      </x:c>
      <x:c r="G72" s="69" t="n">
        <x:f>E72/D72</x:f>
        <x:v>0.45664739884393063</x:v>
      </x:c>
      <x:c r="H72" s="70" t="n">
        <x:f>K72/D72/'Gia dinh'!$B$5</x:f>
        <x:v>43.83236994219653</x:v>
      </x:c>
      <x:c r="I72" s="69" t="n">
        <x:f>H72/'Gia dinh'!$B$6</x:f>
        <x:v>0.6261767134599504</x:v>
      </x:c>
      <x:c r="J72" s="69" t="n">
        <x:f>G72-I72</x:f>
        <x:v>-0.16952931461601978</x:v>
      </x:c>
      <x:c r="K72" s="71" t="n">
        <x:v>7583000</x:v>
      </x:c>
      <x:c r="L72" s="71" t="n">
        <x:f>E72*'Gia dinh'!$B$7</x:f>
        <x:v>5530000</x:v>
      </x:c>
      <x:c r="M72" s="80" t="n">
        <x:f>L72-K72</x:f>
        <x:v>-2053000</x:v>
      </x:c>
      <x:c r="N72" s="72" t="n">
        <x:f>M72/K72</x:f>
        <x:v>-0.270737175260451</x:v>
      </x:c>
      <x:c r="O72" s="66" t="n">
        <x:v>5</x:v>
      </x:c>
      <x:c r="P72" s="66" t="n">
        <x:v>7</x:v>
      </x:c>
      <x:c r="Q72" s="67" t="str">
        <x:f>IF(M72&lt;=0,"Loại",IF(AND(J72&gt;=0.03,P72&lt;=8),"Khuyến nghị","Theo dõi"))</x:f>
        <x:v>Loại</x:v>
      </x:c>
    </x:row>
    <x:row r="73">
      <x:c r="A73" s="66" t="n">
        <x:v>72</x:v>
      </x:c>
      <x:c r="B73" s="67" t="str">
        <x:v>chainRiskFirst</x:v>
      </x:c>
      <x:c r="C73" s="68" t="n">
        <x:v>55</x:v>
      </x:c>
      <x:c r="D73" s="68" t="n">
        <x:v>173</x:v>
      </x:c>
      <x:c r="E73" s="68" t="n">
        <x:v>79</x:v>
      </x:c>
      <x:c r="F73" s="68" t="n">
        <x:v>94</x:v>
      </x:c>
      <x:c r="G73" s="69" t="n">
        <x:f>E73/D73</x:f>
        <x:v>0.45664739884393063</x:v>
      </x:c>
      <x:c r="H73" s="70" t="n">
        <x:f>K73/D73/'Gia dinh'!$B$5</x:f>
        <x:v>43.83236994219653</x:v>
      </x:c>
      <x:c r="I73" s="69" t="n">
        <x:f>H73/'Gia dinh'!$B$6</x:f>
        <x:v>0.6261767134599504</x:v>
      </x:c>
      <x:c r="J73" s="69" t="n">
        <x:f>G73-I73</x:f>
        <x:v>-0.16952931461601978</x:v>
      </x:c>
      <x:c r="K73" s="71" t="n">
        <x:v>7583000</x:v>
      </x:c>
      <x:c r="L73" s="71" t="n">
        <x:f>E73*'Gia dinh'!$B$7</x:f>
        <x:v>5530000</x:v>
      </x:c>
      <x:c r="M73" s="80" t="n">
        <x:f>L73-K73</x:f>
        <x:v>-2053000</x:v>
      </x:c>
      <x:c r="N73" s="72" t="n">
        <x:f>M73/K73</x:f>
        <x:v>-0.270737175260451</x:v>
      </x:c>
      <x:c r="O73" s="66" t="n">
        <x:v>5</x:v>
      </x:c>
      <x:c r="P73" s="66" t="n">
        <x:v>7</x:v>
      </x:c>
      <x:c r="Q73" s="67" t="str">
        <x:f>IF(M73&lt;=0,"Loại",IF(AND(J73&gt;=0.03,P73&lt;=8),"Khuyến nghị","Theo dõi"))</x:f>
        <x:v>Loại</x:v>
      </x:c>
    </x:row>
    <x:row r="74">
      <x:c r="A74" s="66" t="n">
        <x:v>73</x:v>
      </x:c>
      <x:c r="B74" s="67" t="str">
        <x:v>numberWeightedRisk</x:v>
      </x:c>
      <x:c r="C74" s="68" t="n">
        <x:v>50</x:v>
      </x:c>
      <x:c r="D74" s="68" t="n">
        <x:v>173</x:v>
      </x:c>
      <x:c r="E74" s="68" t="n">
        <x:v>94</x:v>
      </x:c>
      <x:c r="F74" s="68" t="n">
        <x:v>79</x:v>
      </x:c>
      <x:c r="G74" s="69" t="n">
        <x:f>E74/D74</x:f>
        <x:v>0.5433526011560693</x:v>
      </x:c>
      <x:c r="H74" s="70" t="n">
        <x:f>K74/D74/'Gia dinh'!$B$5</x:f>
        <x:v>50</x:v>
      </x:c>
      <x:c r="I74" s="69" t="n">
        <x:f>H74/'Gia dinh'!$B$6</x:f>
        <x:v>0.7142857142857143</x:v>
      </x:c>
      <x:c r="J74" s="69" t="n">
        <x:f>G74-I74</x:f>
        <x:v>-0.170933113129645</x:v>
      </x:c>
      <x:c r="K74" s="71" t="n">
        <x:v>8650000</x:v>
      </x:c>
      <x:c r="L74" s="71" t="n">
        <x:f>E74*'Gia dinh'!$B$7</x:f>
        <x:v>6580000</x:v>
      </x:c>
      <x:c r="M74" s="80" t="n">
        <x:f>L74-K74</x:f>
        <x:v>-2070000</x:v>
      </x:c>
      <x:c r="N74" s="72" t="n">
        <x:f>M74/K74</x:f>
        <x:v>-0.23930635838150288</x:v>
      </x:c>
      <x:c r="O74" s="66" t="n">
        <x:v>6</x:v>
      </x:c>
      <x:c r="P74" s="66" t="n">
        <x:v>6</x:v>
      </x:c>
      <x:c r="Q74" s="67" t="str">
        <x:f>IF(M74&lt;=0,"Loại",IF(AND(J74&gt;=0.03,P74&lt;=8),"Khuyến nghị","Theo dõi"))</x:f>
        <x:v>Loại</x:v>
      </x:c>
    </x:row>
    <x:row r="75">
      <x:c r="A75" s="66" t="n">
        <x:v>74</x:v>
      </x:c>
      <x:c r="B75" s="67" t="str">
        <x:v>numberAvgRisk</x:v>
      </x:c>
      <x:c r="C75" s="68" t="n">
        <x:v>50</x:v>
      </x:c>
      <x:c r="D75" s="68" t="n">
        <x:v>173</x:v>
      </x:c>
      <x:c r="E75" s="68" t="n">
        <x:v>93</x:v>
      </x:c>
      <x:c r="F75" s="68" t="n">
        <x:v>80</x:v>
      </x:c>
      <x:c r="G75" s="69" t="n">
        <x:f>E75/D75</x:f>
        <x:v>0.5375722543352601</x:v>
      </x:c>
      <x:c r="H75" s="70" t="n">
        <x:f>K75/D75/'Gia dinh'!$B$5</x:f>
        <x:v>50</x:v>
      </x:c>
      <x:c r="I75" s="69" t="n">
        <x:f>H75/'Gia dinh'!$B$6</x:f>
        <x:v>0.7142857142857143</x:v>
      </x:c>
      <x:c r="J75" s="69" t="n">
        <x:f>G75-I75</x:f>
        <x:v>-0.17671345995045418</x:v>
      </x:c>
      <x:c r="K75" s="71" t="n">
        <x:v>8650000</x:v>
      </x:c>
      <x:c r="L75" s="71" t="n">
        <x:f>E75*'Gia dinh'!$B$7</x:f>
        <x:v>6510000</x:v>
      </x:c>
      <x:c r="M75" s="80" t="n">
        <x:f>L75-K75</x:f>
        <x:v>-2140000</x:v>
      </x:c>
      <x:c r="N75" s="72" t="n">
        <x:f>M75/K75</x:f>
        <x:v>-0.24739884393063583</x:v>
      </x:c>
      <x:c r="O75" s="66" t="n">
        <x:v>6</x:v>
      </x:c>
      <x:c r="P75" s="66" t="n">
        <x:v>6</x:v>
      </x:c>
      <x:c r="Q75" s="67" t="str">
        <x:f>IF(M75&lt;=0,"Loại",IF(AND(J75&gt;=0.03,P75&lt;=8),"Khuyến nghị","Theo dõi"))</x:f>
        <x:v>Loại</x:v>
      </x:c>
    </x:row>
    <x:row r="76">
      <x:c r="A76" s="66" t="n">
        <x:v>75</x:v>
      </x:c>
      <x:c r="B76" s="67" t="str">
        <x:v>numberConsensusRisk</x:v>
      </x:c>
      <x:c r="C76" s="68" t="n">
        <x:v>50</x:v>
      </x:c>
      <x:c r="D76" s="68" t="n">
        <x:v>173</x:v>
      </x:c>
      <x:c r="E76" s="68" t="n">
        <x:v>92</x:v>
      </x:c>
      <x:c r="F76" s="68" t="n">
        <x:v>81</x:v>
      </x:c>
      <x:c r="G76" s="69" t="n">
        <x:f>E76/D76</x:f>
        <x:v>0.5317919075144508</x:v>
      </x:c>
      <x:c r="H76" s="70" t="n">
        <x:f>K76/D76/'Gia dinh'!$B$5</x:f>
        <x:v>50</x:v>
      </x:c>
      <x:c r="I76" s="69" t="n">
        <x:f>H76/'Gia dinh'!$B$6</x:f>
        <x:v>0.7142857142857143</x:v>
      </x:c>
      <x:c r="J76" s="69" t="n">
        <x:f>G76-I76</x:f>
        <x:v>-0.18249380677126348</x:v>
      </x:c>
      <x:c r="K76" s="71" t="n">
        <x:v>8650000</x:v>
      </x:c>
      <x:c r="L76" s="71" t="n">
        <x:f>E76*'Gia dinh'!$B$7</x:f>
        <x:v>6440000</x:v>
      </x:c>
      <x:c r="M76" s="80" t="n">
        <x:f>L76-K76</x:f>
        <x:v>-2210000</x:v>
      </x:c>
      <x:c r="N76" s="72" t="n">
        <x:f>M76/K76</x:f>
        <x:v>-0.25549132947976877</x:v>
      </x:c>
      <x:c r="O76" s="66" t="n">
        <x:v>6</x:v>
      </x:c>
      <x:c r="P76" s="66" t="n">
        <x:v>6</x:v>
      </x:c>
      <x:c r="Q76" s="67" t="str">
        <x:f>IF(M76&lt;=0,"Loại",IF(AND(J76&gt;=0.03,P76&lt;=8),"Khuyến nghị","Theo dõi"))</x:f>
        <x:v>Loại</x:v>
      </x:c>
    </x:row>
    <x:row r="77">
      <x:c r="A77" s="66" t="n">
        <x:v>76</x:v>
      </x:c>
      <x:c r="B77" s="67" t="str">
        <x:v>chainTier</x:v>
      </x:c>
      <x:c r="C77" s="68" t="n">
        <x:v>35</x:v>
      </x:c>
      <x:c r="D77" s="68" t="n">
        <x:v>173</x:v>
      </x:c>
      <x:c r="E77" s="68" t="n">
        <x:v>125</x:v>
      </x:c>
      <x:c r="F77" s="68" t="n">
        <x:v>48</x:v>
      </x:c>
      <x:c r="G77" s="69" t="n">
        <x:f>E77/D77</x:f>
        <x:v>0.7225433526011561</x:v>
      </x:c>
      <x:c r="H77" s="70" t="n">
        <x:f>K77/D77/'Gia dinh'!$B$5</x:f>
        <x:v>63.53179190751445</x:v>
      </x:c>
      <x:c r="I77" s="69" t="n">
        <x:f>H77/'Gia dinh'!$B$6</x:f>
        <x:v>0.9075970272502065</x:v>
      </x:c>
      <x:c r="J77" s="69" t="n">
        <x:f>G77-I77</x:f>
        <x:v>-0.18505367464905043</x:v>
      </x:c>
      <x:c r="K77" s="71" t="n">
        <x:v>10991000</x:v>
      </x:c>
      <x:c r="L77" s="71" t="n">
        <x:f>E77*'Gia dinh'!$B$7</x:f>
        <x:v>8750000</x:v>
      </x:c>
      <x:c r="M77" s="80" t="n">
        <x:f>L77-K77</x:f>
        <x:v>-2241000</x:v>
      </x:c>
      <x:c r="N77" s="72" t="n">
        <x:f>M77/K77</x:f>
        <x:v>-0.20389409516877446</x:v>
      </x:c>
      <x:c r="O77" s="66" t="n">
        <x:v>11</x:v>
      </x:c>
      <x:c r="P77" s="66" t="n">
        <x:v>2</x:v>
      </x:c>
      <x:c r="Q77" s="67" t="str">
        <x:f>IF(M77&lt;=0,"Loại",IF(AND(J77&gt;=0.03,P77&lt;=8),"Khuyến nghị","Theo dõi"))</x:f>
        <x:v>Loại</x:v>
      </x:c>
    </x:row>
    <x:row r="78">
      <x:c r="A78" s="66" t="n">
        <x:v>77</x:v>
      </x:c>
      <x:c r="B78" s="67" t="str">
        <x:v>chainFreqFirst</x:v>
      </x:c>
      <x:c r="C78" s="68" t="n">
        <x:v>50</x:v>
      </x:c>
      <x:c r="D78" s="68" t="n">
        <x:v>173</x:v>
      </x:c>
      <x:c r="E78" s="68" t="n">
        <x:v>87</x:v>
      </x:c>
      <x:c r="F78" s="68" t="n">
        <x:v>86</x:v>
      </x:c>
      <x:c r="G78" s="69" t="n">
        <x:f>E78/D78</x:f>
        <x:v>0.5028901734104047</x:v>
      </x:c>
      <x:c r="H78" s="70" t="n">
        <x:f>K78/D78/'Gia dinh'!$B$5</x:f>
        <x:v>48.41618497109826</x:v>
      </x:c>
      <x:c r="I78" s="69" t="n">
        <x:f>H78/'Gia dinh'!$B$6</x:f>
        <x:v>0.6916597853014037</x:v>
      </x:c>
      <x:c r="J78" s="69" t="n">
        <x:f>G78-I78</x:f>
        <x:v>-0.18876961189099906</x:v>
      </x:c>
      <x:c r="K78" s="71" t="n">
        <x:v>8376000</x:v>
      </x:c>
      <x:c r="L78" s="71" t="n">
        <x:f>E78*'Gia dinh'!$B$7</x:f>
        <x:v>6090000</x:v>
      </x:c>
      <x:c r="M78" s="80" t="n">
        <x:f>L78-K78</x:f>
        <x:v>-2286000</x:v>
      </x:c>
      <x:c r="N78" s="72" t="n">
        <x:f>M78/K78</x:f>
        <x:v>-0.27292263610315187</x:v>
      </x:c>
      <x:c r="O78" s="66" t="n">
        <x:v>8</x:v>
      </x:c>
      <x:c r="P78" s="66" t="n">
        <x:v>6</x:v>
      </x:c>
      <x:c r="Q78" s="67" t="str">
        <x:f>IF(M78&lt;=0,"Loại",IF(AND(J78&gt;=0.03,P78&lt;=8),"Khuyến nghị","Theo dõi"))</x:f>
        <x:v>Loại</x:v>
      </x:c>
    </x:row>
    <x:row r="79">
      <x:c r="A79" s="66" t="n">
        <x:v>78</x:v>
      </x:c>
      <x:c r="B79" s="67" t="str">
        <x:v>chainRiskFirst</x:v>
      </x:c>
      <x:c r="C79" s="68" t="n">
        <x:v>50</x:v>
      </x:c>
      <x:c r="D79" s="68" t="n">
        <x:v>173</x:v>
      </x:c>
      <x:c r="E79" s="68" t="n">
        <x:v>87</x:v>
      </x:c>
      <x:c r="F79" s="68" t="n">
        <x:v>86</x:v>
      </x:c>
      <x:c r="G79" s="69" t="n">
        <x:f>E79/D79</x:f>
        <x:v>0.5028901734104047</x:v>
      </x:c>
      <x:c r="H79" s="70" t="n">
        <x:f>K79/D79/'Gia dinh'!$B$5</x:f>
        <x:v>48.41618497109826</x:v>
      </x:c>
      <x:c r="I79" s="69" t="n">
        <x:f>H79/'Gia dinh'!$B$6</x:f>
        <x:v>0.6916597853014037</x:v>
      </x:c>
      <x:c r="J79" s="69" t="n">
        <x:f>G79-I79</x:f>
        <x:v>-0.18876961189099906</x:v>
      </x:c>
      <x:c r="K79" s="71" t="n">
        <x:v>8376000</x:v>
      </x:c>
      <x:c r="L79" s="71" t="n">
        <x:f>E79*'Gia dinh'!$B$7</x:f>
        <x:v>6090000</x:v>
      </x:c>
      <x:c r="M79" s="80" t="n">
        <x:f>L79-K79</x:f>
        <x:v>-2286000</x:v>
      </x:c>
      <x:c r="N79" s="72" t="n">
        <x:f>M79/K79</x:f>
        <x:v>-0.27292263610315187</x:v>
      </x:c>
      <x:c r="O79" s="66" t="n">
        <x:v>8</x:v>
      </x:c>
      <x:c r="P79" s="66" t="n">
        <x:v>6</x:v>
      </x:c>
      <x:c r="Q79" s="67" t="str">
        <x:f>IF(M79&lt;=0,"Loại",IF(AND(J79&gt;=0.03,P79&lt;=8),"Khuyến nghị","Theo dõi"))</x:f>
        <x:v>Loại</x:v>
      </x:c>
    </x:row>
    <x:row r="80">
      <x:c r="A80" s="66" t="n">
        <x:v>79</x:v>
      </x:c>
      <x:c r="B80" s="67" t="str">
        <x:v>numberAvgRisk</x:v>
      </x:c>
      <x:c r="C80" s="68" t="n">
        <x:v>45</x:v>
      </x:c>
      <x:c r="D80" s="68" t="n">
        <x:v>173</x:v>
      </x:c>
      <x:c r="E80" s="68" t="n">
        <x:v>101</x:v>
      </x:c>
      <x:c r="F80" s="68" t="n">
        <x:v>72</x:v>
      </x:c>
      <x:c r="G80" s="69" t="n">
        <x:f>E80/D80</x:f>
        <x:v>0.5838150289017341</x:v>
      </x:c>
      <x:c r="H80" s="70" t="n">
        <x:f>K80/D80/'Gia dinh'!$B$5</x:f>
        <x:v>55</x:v>
      </x:c>
      <x:c r="I80" s="69" t="n">
        <x:f>H80/'Gia dinh'!$B$6</x:f>
        <x:v>0.7857142857142857</x:v>
      </x:c>
      <x:c r="J80" s="69" t="n">
        <x:f>G80-I80</x:f>
        <x:v>-0.2018992568125516</x:v>
      </x:c>
      <x:c r="K80" s="71" t="n">
        <x:v>9515000</x:v>
      </x:c>
      <x:c r="L80" s="71" t="n">
        <x:f>E80*'Gia dinh'!$B$7</x:f>
        <x:v>7070000</x:v>
      </x:c>
      <x:c r="M80" s="80" t="n">
        <x:f>L80-K80</x:f>
        <x:v>-2445000</x:v>
      </x:c>
      <x:c r="N80" s="72" t="n">
        <x:f>M80/K80</x:f>
        <x:v>-0.2569626904887021</x:v>
      </x:c>
      <x:c r="O80" s="66" t="n">
        <x:v>10</x:v>
      </x:c>
      <x:c r="P80" s="66" t="n">
        <x:v>6</x:v>
      </x:c>
      <x:c r="Q80" s="67" t="str">
        <x:f>IF(M80&lt;=0,"Loại",IF(AND(J80&gt;=0.03,P80&lt;=8),"Khuyến nghị","Theo dõi"))</x:f>
        <x:v>Loại</x:v>
      </x:c>
    </x:row>
    <x:row r="81">
      <x:c r="A81" s="66" t="n">
        <x:v>80</x:v>
      </x:c>
      <x:c r="B81" s="67" t="str">
        <x:v>numberConsensusRisk</x:v>
      </x:c>
      <x:c r="C81" s="68" t="n">
        <x:v>45</x:v>
      </x:c>
      <x:c r="D81" s="68" t="n">
        <x:v>173</x:v>
      </x:c>
      <x:c r="E81" s="68" t="n">
        <x:v>101</x:v>
      </x:c>
      <x:c r="F81" s="68" t="n">
        <x:v>72</x:v>
      </x:c>
      <x:c r="G81" s="69" t="n">
        <x:f>E81/D81</x:f>
        <x:v>0.5838150289017341</x:v>
      </x:c>
      <x:c r="H81" s="70" t="n">
        <x:f>K81/D81/'Gia dinh'!$B$5</x:f>
        <x:v>55</x:v>
      </x:c>
      <x:c r="I81" s="69" t="n">
        <x:f>H81/'Gia dinh'!$B$6</x:f>
        <x:v>0.7857142857142857</x:v>
      </x:c>
      <x:c r="J81" s="69" t="n">
        <x:f>G81-I81</x:f>
        <x:v>-0.2018992568125516</x:v>
      </x:c>
      <x:c r="K81" s="71" t="n">
        <x:v>9515000</x:v>
      </x:c>
      <x:c r="L81" s="71" t="n">
        <x:f>E81*'Gia dinh'!$B$7</x:f>
        <x:v>7070000</x:v>
      </x:c>
      <x:c r="M81" s="80" t="n">
        <x:f>L81-K81</x:f>
        <x:v>-2445000</x:v>
      </x:c>
      <x:c r="N81" s="72" t="n">
        <x:f>M81/K81</x:f>
        <x:v>-0.2569626904887021</x:v>
      </x:c>
      <x:c r="O81" s="66" t="n">
        <x:v>10</x:v>
      </x:c>
      <x:c r="P81" s="66" t="n">
        <x:v>6</x:v>
      </x:c>
      <x:c r="Q81" s="67" t="str">
        <x:f>IF(M81&lt;=0,"Loại",IF(AND(J81&gt;=0.03,P81&lt;=8),"Khuyến nghị","Theo dõi"))</x:f>
        <x:v>Loại</x:v>
      </x:c>
    </x:row>
    <x:row r="82">
      <x:c r="A82" s="66" t="n">
        <x:v>81</x:v>
      </x:c>
      <x:c r="B82" s="67" t="str">
        <x:v>numberWeightedRisk</x:v>
      </x:c>
      <x:c r="C82" s="68" t="n">
        <x:v>45</x:v>
      </x:c>
      <x:c r="D82" s="68" t="n">
        <x:v>173</x:v>
      </x:c>
      <x:c r="E82" s="68" t="n">
        <x:v>101</x:v>
      </x:c>
      <x:c r="F82" s="68" t="n">
        <x:v>72</x:v>
      </x:c>
      <x:c r="G82" s="69" t="n">
        <x:f>E82/D82</x:f>
        <x:v>0.5838150289017341</x:v>
      </x:c>
      <x:c r="H82" s="70" t="n">
        <x:f>K82/D82/'Gia dinh'!$B$5</x:f>
        <x:v>55</x:v>
      </x:c>
      <x:c r="I82" s="69" t="n">
        <x:f>H82/'Gia dinh'!$B$6</x:f>
        <x:v>0.7857142857142857</x:v>
      </x:c>
      <x:c r="J82" s="69" t="n">
        <x:f>G82-I82</x:f>
        <x:v>-0.2018992568125516</x:v>
      </x:c>
      <x:c r="K82" s="71" t="n">
        <x:v>9515000</x:v>
      </x:c>
      <x:c r="L82" s="71" t="n">
        <x:f>E82*'Gia dinh'!$B$7</x:f>
        <x:v>7070000</x:v>
      </x:c>
      <x:c r="M82" s="80" t="n">
        <x:f>L82-K82</x:f>
        <x:v>-2445000</x:v>
      </x:c>
      <x:c r="N82" s="72" t="n">
        <x:f>M82/K82</x:f>
        <x:v>-0.2569626904887021</x:v>
      </x:c>
      <x:c r="O82" s="66" t="n">
        <x:v>10</x:v>
      </x:c>
      <x:c r="P82" s="66" t="n">
        <x:v>6</x:v>
      </x:c>
      <x:c r="Q82" s="67" t="str">
        <x:f>IF(M82&lt;=0,"Loại",IF(AND(J82&gt;=0.03,P82&lt;=8),"Khuyến nghị","Theo dõi"))</x:f>
        <x:v>Loại</x:v>
      </x:c>
    </x:row>
    <x:row r="83">
      <x:c r="A83" s="66" t="n">
        <x:v>82</x:v>
      </x:c>
      <x:c r="B83" s="67" t="str">
        <x:v>activeOnlyAvgRisk</x:v>
      </x:c>
      <x:c r="C83" s="68" t="n">
        <x:v>40</x:v>
      </x:c>
      <x:c r="D83" s="68" t="n">
        <x:v>173</x:v>
      </x:c>
      <x:c r="E83" s="68" t="n">
        <x:v>113</x:v>
      </x:c>
      <x:c r="F83" s="68" t="n">
        <x:v>60</x:v>
      </x:c>
      <x:c r="G83" s="69" t="n">
        <x:f>E83/D83</x:f>
        <x:v>0.653179190751445</x:v>
      </x:c>
      <x:c r="H83" s="70" t="n">
        <x:f>K83/D83/'Gia dinh'!$B$5</x:f>
        <x:v>60</x:v>
      </x:c>
      <x:c r="I83" s="69" t="n">
        <x:f>H83/'Gia dinh'!$B$6</x:f>
        <x:v>0.8571428571428571</x:v>
      </x:c>
      <x:c r="J83" s="69" t="n">
        <x:f>G83-I83</x:f>
        <x:v>-0.20396366639141206</x:v>
      </x:c>
      <x:c r="K83" s="71" t="n">
        <x:v>10380000</x:v>
      </x:c>
      <x:c r="L83" s="71" t="n">
        <x:f>E83*'Gia dinh'!$B$7</x:f>
        <x:v>7910000</x:v>
      </x:c>
      <x:c r="M83" s="80" t="n">
        <x:f>L83-K83</x:f>
        <x:v>-2470000</x:v>
      </x:c>
      <x:c r="N83" s="72" t="n">
        <x:f>M83/K83</x:f>
        <x:v>-0.23795761078998073</x:v>
      </x:c>
      <x:c r="O83" s="66" t="n">
        <x:v>10</x:v>
      </x:c>
      <x:c r="P83" s="66" t="n">
        <x:v>5</x:v>
      </x:c>
      <x:c r="Q83" s="67" t="str">
        <x:f>IF(M83&lt;=0,"Loại",IF(AND(J83&gt;=0.03,P83&lt;=8),"Khuyến nghị","Theo dõi"))</x:f>
        <x:v>Loại</x:v>
      </x:c>
    </x:row>
    <x:row r="84">
      <x:c r="A84" s="66" t="n">
        <x:v>83</x:v>
      </x:c>
      <x:c r="B84" s="67" t="str">
        <x:v>activeOnlyAvgRisk</x:v>
      </x:c>
      <x:c r="C84" s="68" t="n">
        <x:v>35</x:v>
      </x:c>
      <x:c r="D84" s="68" t="n">
        <x:v>173</x:v>
      </x:c>
      <x:c r="E84" s="68" t="n">
        <x:v>125</x:v>
      </x:c>
      <x:c r="F84" s="68" t="n">
        <x:v>48</x:v>
      </x:c>
      <x:c r="G84" s="69" t="n">
        <x:f>E84/D84</x:f>
        <x:v>0.7225433526011561</x:v>
      </x:c>
      <x:c r="H84" s="70" t="n">
        <x:f>K84/D84/'Gia dinh'!$B$5</x:f>
        <x:v>65</x:v>
      </x:c>
      <x:c r="I84" s="69" t="n">
        <x:f>H84/'Gia dinh'!$B$6</x:f>
        <x:v>0.9285714285714286</x:v>
      </x:c>
      <x:c r="J84" s="69" t="n">
        <x:f>G84-I84</x:f>
        <x:v>-0.2060280759702725</x:v>
      </x:c>
      <x:c r="K84" s="71" t="n">
        <x:v>11245000</x:v>
      </x:c>
      <x:c r="L84" s="71" t="n">
        <x:f>E84*'Gia dinh'!$B$7</x:f>
        <x:v>8750000</x:v>
      </x:c>
      <x:c r="M84" s="80" t="n">
        <x:f>L84-K84</x:f>
        <x:v>-2495000</x:v>
      </x:c>
      <x:c r="N84" s="72" t="n">
        <x:f>M84/K84</x:f>
        <x:v>-0.2218763895064473</x:v>
      </x:c>
      <x:c r="O84" s="66" t="n">
        <x:v>14</x:v>
      </x:c>
      <x:c r="P84" s="66" t="n">
        <x:v>3</x:v>
      </x:c>
      <x:c r="Q84" s="67" t="str">
        <x:f>IF(M84&lt;=0,"Loại",IF(AND(J84&gt;=0.03,P84&lt;=8),"Khuyến nghị","Theo dõi"))</x:f>
        <x:v>Loại</x:v>
      </x:c>
    </x:row>
    <x:row r="85">
      <x:c r="A85" s="66" t="n">
        <x:v>84</x:v>
      </x:c>
      <x:c r="B85" s="67" t="str">
        <x:v>chainTier</x:v>
      </x:c>
      <x:c r="C85" s="68" t="n">
        <x:v>40</x:v>
      </x:c>
      <x:c r="D85" s="68" t="n">
        <x:v>173</x:v>
      </x:c>
      <x:c r="E85" s="68" t="n">
        <x:v>108</x:v>
      </x:c>
      <x:c r="F85" s="68" t="n">
        <x:v>65</x:v>
      </x:c>
      <x:c r="G85" s="69" t="n">
        <x:f>E85/D85</x:f>
        <x:v>0.6242774566473989</x:v>
      </x:c>
      <x:c r="H85" s="70" t="n">
        <x:f>K85/D85/'Gia dinh'!$B$5</x:f>
        <x:v>58.13294797687861</x:v>
      </x:c>
      <x:c r="I85" s="69" t="n">
        <x:f>H85/'Gia dinh'!$B$6</x:f>
        <x:v>0.8304706853839802</x:v>
      </x:c>
      <x:c r="J85" s="69" t="n">
        <x:f>G85-I85</x:f>
        <x:v>-0.2061932287365813</x:v>
      </x:c>
      <x:c r="K85" s="71" t="n">
        <x:v>10057000</x:v>
      </x:c>
      <x:c r="L85" s="71" t="n">
        <x:f>E85*'Gia dinh'!$B$7</x:f>
        <x:v>7560000</x:v>
      </x:c>
      <x:c r="M85" s="80" t="n">
        <x:f>L85-K85</x:f>
        <x:v>-2497000</x:v>
      </x:c>
      <x:c r="N85" s="72" t="n">
        <x:f>M85/K85</x:f>
        <x:v>-0.24828477677239733</x:v>
      </x:c>
      <x:c r="O85" s="66" t="n">
        <x:v>11</x:v>
      </x:c>
      <x:c r="P85" s="66" t="n">
        <x:v>3</x:v>
      </x:c>
      <x:c r="Q85" s="67" t="str">
        <x:f>IF(M85&lt;=0,"Loại",IF(AND(J85&gt;=0.03,P85&lt;=8),"Khuyến nghị","Theo dõi"))</x:f>
        <x:v>Loại</x:v>
      </x:c>
    </x:row>
    <x:row r="86">
      <x:c r="A86" s="66" t="n">
        <x:v>85</x:v>
      </x:c>
      <x:c r="B86" s="67" t="str">
        <x:v>chainFreqFirst</x:v>
      </x:c>
      <x:c r="C86" s="68" t="n">
        <x:v>45</x:v>
      </x:c>
      <x:c r="D86" s="68" t="n">
        <x:v>173</x:v>
      </x:c>
      <x:c r="E86" s="68" t="n">
        <x:v>94</x:v>
      </x:c>
      <x:c r="F86" s="68" t="n">
        <x:v>79</x:v>
      </x:c>
      <x:c r="G86" s="69" t="n">
        <x:f>E86/D86</x:f>
        <x:v>0.5433526011560693</x:v>
      </x:c>
      <x:c r="H86" s="70" t="n">
        <x:f>K86/D86/'Gia dinh'!$B$5</x:f>
        <x:v>52.96531791907515</x:v>
      </x:c>
      <x:c r="I86" s="69" t="n">
        <x:f>H86/'Gia dinh'!$B$6</x:f>
        <x:v>0.7566473988439307</x:v>
      </x:c>
      <x:c r="J86" s="69" t="n">
        <x:f>G86-I86</x:f>
        <x:v>-0.21329479768786141</x:v>
      </x:c>
      <x:c r="K86" s="71" t="n">
        <x:v>9163000</x:v>
      </x:c>
      <x:c r="L86" s="71" t="n">
        <x:f>E86*'Gia dinh'!$B$7</x:f>
        <x:v>6580000</x:v>
      </x:c>
      <x:c r="M86" s="80" t="n">
        <x:f>L86-K86</x:f>
        <x:v>-2583000</x:v>
      </x:c>
      <x:c r="N86" s="72" t="n">
        <x:f>M86/K86</x:f>
        <x:v>-0.28189457601222306</x:v>
      </x:c>
      <x:c r="O86" s="66" t="n">
        <x:v>9</x:v>
      </x:c>
      <x:c r="P86" s="66" t="n">
        <x:v>3</x:v>
      </x:c>
      <x:c r="Q86" s="67" t="str">
        <x:f>IF(M86&lt;=0,"Loại",IF(AND(J86&gt;=0.03,P86&lt;=8),"Khuyến nghị","Theo dõi"))</x:f>
        <x:v>Loại</x:v>
      </x:c>
    </x:row>
    <x:row r="87">
      <x:c r="A87" s="66" t="n">
        <x:v>86</x:v>
      </x:c>
      <x:c r="B87" s="67" t="str">
        <x:v>chainRiskFirst</x:v>
      </x:c>
      <x:c r="C87" s="68" t="n">
        <x:v>45</x:v>
      </x:c>
      <x:c r="D87" s="68" t="n">
        <x:v>173</x:v>
      </x:c>
      <x:c r="E87" s="68" t="n">
        <x:v>94</x:v>
      </x:c>
      <x:c r="F87" s="68" t="n">
        <x:v>79</x:v>
      </x:c>
      <x:c r="G87" s="69" t="n">
        <x:f>E87/D87</x:f>
        <x:v>0.5433526011560693</x:v>
      </x:c>
      <x:c r="H87" s="70" t="n">
        <x:f>K87/D87/'Gia dinh'!$B$5</x:f>
        <x:v>52.96531791907515</x:v>
      </x:c>
      <x:c r="I87" s="69" t="n">
        <x:f>H87/'Gia dinh'!$B$6</x:f>
        <x:v>0.7566473988439307</x:v>
      </x:c>
      <x:c r="J87" s="69" t="n">
        <x:f>G87-I87</x:f>
        <x:v>-0.21329479768786141</x:v>
      </x:c>
      <x:c r="K87" s="71" t="n">
        <x:v>9163000</x:v>
      </x:c>
      <x:c r="L87" s="71" t="n">
        <x:f>E87*'Gia dinh'!$B$7</x:f>
        <x:v>6580000</x:v>
      </x:c>
      <x:c r="M87" s="80" t="n">
        <x:f>L87-K87</x:f>
        <x:v>-2583000</x:v>
      </x:c>
      <x:c r="N87" s="72" t="n">
        <x:f>M87/K87</x:f>
        <x:v>-0.28189457601222306</x:v>
      </x:c>
      <x:c r="O87" s="66" t="n">
        <x:v>9</x:v>
      </x:c>
      <x:c r="P87" s="66" t="n">
        <x:v>3</x:v>
      </x:c>
      <x:c r="Q87" s="67" t="str">
        <x:f>IF(M87&lt;=0,"Loại",IF(AND(J87&gt;=0.03,P87&lt;=8),"Khuyến nghị","Theo dõi"))</x:f>
        <x:v>Loại</x:v>
      </x:c>
    </x:row>
    <x:row r="88">
      <x:c r="A88" s="66" t="n">
        <x:v>87</x:v>
      </x:c>
      <x:c r="B88" s="67" t="str">
        <x:v>chainFreqFirst</x:v>
      </x:c>
      <x:c r="C88" s="68" t="n">
        <x:v>40</x:v>
      </x:c>
      <x:c r="D88" s="68" t="n">
        <x:v>173</x:v>
      </x:c>
      <x:c r="E88" s="68" t="n">
        <x:v>100</x:v>
      </x:c>
      <x:c r="F88" s="68" t="n">
        <x:v>73</x:v>
      </x:c>
      <x:c r="G88" s="69" t="n">
        <x:f>E88/D88</x:f>
        <x:v>0.5780346820809249</x:v>
      </x:c>
      <x:c r="H88" s="70" t="n">
        <x:f>K88/D88/'Gia dinh'!$B$5</x:f>
        <x:v>57.67052023121387</x:v>
      </x:c>
      <x:c r="I88" s="69" t="n">
        <x:f>H88/'Gia dinh'!$B$6</x:f>
        <x:v>0.8238645747316268</x:v>
      </x:c>
      <x:c r="J88" s="69" t="n">
        <x:f>G88-I88</x:f>
        <x:v>-0.24582989265070188</x:v>
      </x:c>
      <x:c r="K88" s="71" t="n">
        <x:v>9977000</x:v>
      </x:c>
      <x:c r="L88" s="71" t="n">
        <x:f>E88*'Gia dinh'!$B$7</x:f>
        <x:v>7000000</x:v>
      </x:c>
      <x:c r="M88" s="80" t="n">
        <x:f>L88-K88</x:f>
        <x:v>-2977000</x:v>
      </x:c>
      <x:c r="N88" s="72" t="n">
        <x:f>M88/K88</x:f>
        <x:v>-0.298386288463466</x:v>
      </x:c>
      <x:c r="O88" s="66" t="n">
        <x:v>9</x:v>
      </x:c>
      <x:c r="P88" s="66" t="n">
        <x:v>3</x:v>
      </x:c>
      <x:c r="Q88" s="67" t="str">
        <x:f>IF(M88&lt;=0,"Loại",IF(AND(J88&gt;=0.03,P88&lt;=8),"Khuyến nghị","Theo dõi"))</x:f>
        <x:v>Loại</x:v>
      </x:c>
    </x:row>
    <x:row r="89">
      <x:c r="A89" s="66" t="n">
        <x:v>88</x:v>
      </x:c>
      <x:c r="B89" s="67" t="str">
        <x:v>chainRiskFirst</x:v>
      </x:c>
      <x:c r="C89" s="68" t="n">
        <x:v>40</x:v>
      </x:c>
      <x:c r="D89" s="68" t="n">
        <x:v>173</x:v>
      </x:c>
      <x:c r="E89" s="68" t="n">
        <x:v>100</x:v>
      </x:c>
      <x:c r="F89" s="68" t="n">
        <x:v>73</x:v>
      </x:c>
      <x:c r="G89" s="69" t="n">
        <x:f>E89/D89</x:f>
        <x:v>0.5780346820809249</x:v>
      </x:c>
      <x:c r="H89" s="70" t="n">
        <x:f>K89/D89/'Gia dinh'!$B$5</x:f>
        <x:v>57.67052023121387</x:v>
      </x:c>
      <x:c r="I89" s="69" t="n">
        <x:f>H89/'Gia dinh'!$B$6</x:f>
        <x:v>0.8238645747316268</x:v>
      </x:c>
      <x:c r="J89" s="69" t="n">
        <x:f>G89-I89</x:f>
        <x:v>-0.24582989265070188</x:v>
      </x:c>
      <x:c r="K89" s="71" t="n">
        <x:v>9977000</x:v>
      </x:c>
      <x:c r="L89" s="71" t="n">
        <x:f>E89*'Gia dinh'!$B$7</x:f>
        <x:v>7000000</x:v>
      </x:c>
      <x:c r="M89" s="80" t="n">
        <x:f>L89-K89</x:f>
        <x:v>-2977000</x:v>
      </x:c>
      <x:c r="N89" s="72" t="n">
        <x:f>M89/K89</x:f>
        <x:v>-0.298386288463466</x:v>
      </x:c>
      <x:c r="O89" s="66" t="n">
        <x:v>9</x:v>
      </x:c>
      <x:c r="P89" s="66" t="n">
        <x:v>3</x:v>
      </x:c>
      <x:c r="Q89" s="67" t="str">
        <x:f>IF(M89&lt;=0,"Loại",IF(AND(J89&gt;=0.03,P89&lt;=8),"Khuyến nghị","Theo dõi"))</x:f>
        <x:v>Loại</x:v>
      </x:c>
    </x:row>
    <x:row r="90">
      <x:c r="A90" s="66" t="n">
        <x:v>89</x:v>
      </x:c>
      <x:c r="B90" s="67" t="str">
        <x:v>numberAvgRisk</x:v>
      </x:c>
      <x:c r="C90" s="68" t="n">
        <x:v>35</x:v>
      </x:c>
      <x:c r="D90" s="68" t="n">
        <x:v>173</x:v>
      </x:c>
      <x:c r="E90" s="68" t="n">
        <x:v>118</x:v>
      </x:c>
      <x:c r="F90" s="68" t="n">
        <x:v>55</x:v>
      </x:c>
      <x:c r="G90" s="69" t="n">
        <x:f>E90/D90</x:f>
        <x:v>0.6820809248554913</x:v>
      </x:c>
      <x:c r="H90" s="70" t="n">
        <x:f>K90/D90/'Gia dinh'!$B$5</x:f>
        <x:v>65</x:v>
      </x:c>
      <x:c r="I90" s="69" t="n">
        <x:f>H90/'Gia dinh'!$B$6</x:f>
        <x:v>0.9285714285714286</x:v>
      </x:c>
      <x:c r="J90" s="69" t="n">
        <x:f>G90-I90</x:f>
        <x:v>-0.24649050371593728</x:v>
      </x:c>
      <x:c r="K90" s="71" t="n">
        <x:v>11245000</x:v>
      </x:c>
      <x:c r="L90" s="71" t="n">
        <x:f>E90*'Gia dinh'!$B$7</x:f>
        <x:v>8260000</x:v>
      </x:c>
      <x:c r="M90" s="80" t="n">
        <x:f>L90-K90</x:f>
        <x:v>-2985000</x:v>
      </x:c>
      <x:c r="N90" s="72" t="n">
        <x:f>M90/K90</x:f>
        <x:v>-0.26545131169408626</x:v>
      </x:c>
      <x:c r="O90" s="66" t="n">
        <x:v>10</x:v>
      </x:c>
      <x:c r="P90" s="66" t="n">
        <x:v>3</x:v>
      </x:c>
      <x:c r="Q90" s="67" t="str">
        <x:f>IF(M90&lt;=0,"Loại",IF(AND(J90&gt;=0.03,P90&lt;=8),"Khuyến nghị","Theo dõi"))</x:f>
        <x:v>Loại</x:v>
      </x:c>
    </x:row>
    <x:row r="91">
      <x:c r="A91" s="66" t="n">
        <x:v>90</x:v>
      </x:c>
      <x:c r="B91" s="67" t="str">
        <x:v>numberConsensusRisk</x:v>
      </x:c>
      <x:c r="C91" s="68" t="n">
        <x:v>35</x:v>
      </x:c>
      <x:c r="D91" s="68" t="n">
        <x:v>173</x:v>
      </x:c>
      <x:c r="E91" s="68" t="n">
        <x:v>118</x:v>
      </x:c>
      <x:c r="F91" s="68" t="n">
        <x:v>55</x:v>
      </x:c>
      <x:c r="G91" s="69" t="n">
        <x:f>E91/D91</x:f>
        <x:v>0.6820809248554913</x:v>
      </x:c>
      <x:c r="H91" s="70" t="n">
        <x:f>K91/D91/'Gia dinh'!$B$5</x:f>
        <x:v>65</x:v>
      </x:c>
      <x:c r="I91" s="69" t="n">
        <x:f>H91/'Gia dinh'!$B$6</x:f>
        <x:v>0.9285714285714286</x:v>
      </x:c>
      <x:c r="J91" s="69" t="n">
        <x:f>G91-I91</x:f>
        <x:v>-0.24649050371593728</x:v>
      </x:c>
      <x:c r="K91" s="71" t="n">
        <x:v>11245000</x:v>
      </x:c>
      <x:c r="L91" s="71" t="n">
        <x:f>E91*'Gia dinh'!$B$7</x:f>
        <x:v>8260000</x:v>
      </x:c>
      <x:c r="M91" s="80" t="n">
        <x:f>L91-K91</x:f>
        <x:v>-2985000</x:v>
      </x:c>
      <x:c r="N91" s="72" t="n">
        <x:f>M91/K91</x:f>
        <x:v>-0.26545131169408626</x:v>
      </x:c>
      <x:c r="O91" s="66" t="n">
        <x:v>10</x:v>
      </x:c>
      <x:c r="P91" s="66" t="n">
        <x:v>3</x:v>
      </x:c>
      <x:c r="Q91" s="67" t="str">
        <x:f>IF(M91&lt;=0,"Loại",IF(AND(J91&gt;=0.03,P91&lt;=8),"Khuyến nghị","Theo dõi"))</x:f>
        <x:v>Loại</x:v>
      </x:c>
    </x:row>
    <x:row r="92">
      <x:c r="A92" s="66" t="n">
        <x:v>91</x:v>
      </x:c>
      <x:c r="B92" s="67" t="str">
        <x:v>chainFreqFirst</x:v>
      </x:c>
      <x:c r="C92" s="68" t="n">
        <x:v>35</x:v>
      </x:c>
      <x:c r="D92" s="68" t="n">
        <x:v>173</x:v>
      </x:c>
      <x:c r="E92" s="68" t="n">
        <x:v>112</x:v>
      </x:c>
      <x:c r="F92" s="68" t="n">
        <x:v>61</x:v>
      </x:c>
      <x:c r="G92" s="69" t="n">
        <x:f>E92/D92</x:f>
        <x:v>0.6473988439306358</x:v>
      </x:c>
      <x:c r="H92" s="70" t="n">
        <x:f>K92/D92/'Gia dinh'!$B$5</x:f>
        <x:v>62.71676300578035</x:v>
      </x:c>
      <x:c r="I92" s="69" t="n">
        <x:f>H92/'Gia dinh'!$B$6</x:f>
        <x:v>0.8959537572254336</x:v>
      </x:c>
      <x:c r="J92" s="69" t="n">
        <x:f>G92-I92</x:f>
        <x:v>-0.24855491329479773</x:v>
      </x:c>
      <x:c r="K92" s="71" t="n">
        <x:v>10850000</x:v>
      </x:c>
      <x:c r="L92" s="71" t="n">
        <x:f>E92*'Gia dinh'!$B$7</x:f>
        <x:v>7840000</x:v>
      </x:c>
      <x:c r="M92" s="80" t="n">
        <x:f>L92-K92</x:f>
        <x:v>-3010000</x:v>
      </x:c>
      <x:c r="N92" s="72" t="n">
        <x:f>M92/K92</x:f>
        <x:v>-0.27741935483870966</x:v>
      </x:c>
      <x:c r="O92" s="66" t="n">
        <x:v>11</x:v>
      </x:c>
      <x:c r="P92" s="66" t="n">
        <x:v>3</x:v>
      </x:c>
      <x:c r="Q92" s="67" t="str">
        <x:f>IF(M92&lt;=0,"Loại",IF(AND(J92&gt;=0.03,P92&lt;=8),"Khuyến nghị","Theo dõi"))</x:f>
        <x:v>Loại</x:v>
      </x:c>
    </x:row>
    <x:row r="93">
      <x:c r="A93" s="66" t="n">
        <x:v>92</x:v>
      </x:c>
      <x:c r="B93" s="67" t="str">
        <x:v>chainRiskFirst</x:v>
      </x:c>
      <x:c r="C93" s="68" t="n">
        <x:v>35</x:v>
      </x:c>
      <x:c r="D93" s="68" t="n">
        <x:v>173</x:v>
      </x:c>
      <x:c r="E93" s="68" t="n">
        <x:v>112</x:v>
      </x:c>
      <x:c r="F93" s="68" t="n">
        <x:v>61</x:v>
      </x:c>
      <x:c r="G93" s="69" t="n">
        <x:f>E93/D93</x:f>
        <x:v>0.6473988439306358</x:v>
      </x:c>
      <x:c r="H93" s="70" t="n">
        <x:f>K93/D93/'Gia dinh'!$B$5</x:f>
        <x:v>62.71676300578035</x:v>
      </x:c>
      <x:c r="I93" s="69" t="n">
        <x:f>H93/'Gia dinh'!$B$6</x:f>
        <x:v>0.8959537572254336</x:v>
      </x:c>
      <x:c r="J93" s="69" t="n">
        <x:f>G93-I93</x:f>
        <x:v>-0.24855491329479773</x:v>
      </x:c>
      <x:c r="K93" s="71" t="n">
        <x:v>10850000</x:v>
      </x:c>
      <x:c r="L93" s="71" t="n">
        <x:f>E93*'Gia dinh'!$B$7</x:f>
        <x:v>7840000</x:v>
      </x:c>
      <x:c r="M93" s="80" t="n">
        <x:f>L93-K93</x:f>
        <x:v>-3010000</x:v>
      </x:c>
      <x:c r="N93" s="72" t="n">
        <x:f>M93/K93</x:f>
        <x:v>-0.27741935483870966</x:v>
      </x:c>
      <x:c r="O93" s="66" t="n">
        <x:v>11</x:v>
      </x:c>
      <x:c r="P93" s="66" t="n">
        <x:v>3</x:v>
      </x:c>
      <x:c r="Q93" s="67" t="str">
        <x:f>IF(M93&lt;=0,"Loại",IF(AND(J93&gt;=0.03,P93&lt;=8),"Khuyến nghị","Theo dõi"))</x:f>
        <x:v>Loại</x:v>
      </x:c>
    </x:row>
    <x:row r="94">
      <x:c r="A94" s="66" t="n">
        <x:v>93</x:v>
      </x:c>
      <x:c r="B94" s="67" t="str">
        <x:v>numberAvgRisk</x:v>
      </x:c>
      <x:c r="C94" s="68" t="n">
        <x:v>40</x:v>
      </x:c>
      <x:c r="D94" s="68" t="n">
        <x:v>173</x:v>
      </x:c>
      <x:c r="E94" s="68" t="n">
        <x:v>105</x:v>
      </x:c>
      <x:c r="F94" s="68" t="n">
        <x:v>68</x:v>
      </x:c>
      <x:c r="G94" s="69" t="n">
        <x:f>E94/D94</x:f>
        <x:v>0.6069364161849711</x:v>
      </x:c>
      <x:c r="H94" s="70" t="n">
        <x:f>K94/D94/'Gia dinh'!$B$5</x:f>
        <x:v>60</x:v>
      </x:c>
      <x:c r="I94" s="69" t="n">
        <x:f>H94/'Gia dinh'!$B$6</x:f>
        <x:v>0.8571428571428571</x:v>
      </x:c>
      <x:c r="J94" s="69" t="n">
        <x:f>G94-I94</x:f>
        <x:v>-0.250206440957886</x:v>
      </x:c>
      <x:c r="K94" s="71" t="n">
        <x:v>10380000</x:v>
      </x:c>
      <x:c r="L94" s="71" t="n">
        <x:f>E94*'Gia dinh'!$B$7</x:f>
        <x:v>7350000</x:v>
      </x:c>
      <x:c r="M94" s="80" t="n">
        <x:f>L94-K94</x:f>
        <x:v>-3030000</x:v>
      </x:c>
      <x:c r="N94" s="72" t="n">
        <x:f>M94/K94</x:f>
        <x:v>-0.29190751445086704</x:v>
      </x:c>
      <x:c r="O94" s="66" t="n">
        <x:v>10</x:v>
      </x:c>
      <x:c r="P94" s="66" t="n">
        <x:v>5</x:v>
      </x:c>
      <x:c r="Q94" s="67" t="str">
        <x:f>IF(M94&lt;=0,"Loại",IF(AND(J94&gt;=0.03,P94&lt;=8),"Khuyến nghị","Theo dõi"))</x:f>
        <x:v>Loại</x:v>
      </x:c>
    </x:row>
    <x:row r="95">
      <x:c r="A95" s="66" t="n">
        <x:v>94</x:v>
      </x:c>
      <x:c r="B95" s="67" t="str">
        <x:v>numberConsensusRisk</x:v>
      </x:c>
      <x:c r="C95" s="68" t="n">
        <x:v>40</x:v>
      </x:c>
      <x:c r="D95" s="68" t="n">
        <x:v>173</x:v>
      </x:c>
      <x:c r="E95" s="68" t="n">
        <x:v>105</x:v>
      </x:c>
      <x:c r="F95" s="68" t="n">
        <x:v>68</x:v>
      </x:c>
      <x:c r="G95" s="69" t="n">
        <x:f>E95/D95</x:f>
        <x:v>0.6069364161849711</x:v>
      </x:c>
      <x:c r="H95" s="70" t="n">
        <x:f>K95/D95/'Gia dinh'!$B$5</x:f>
        <x:v>60</x:v>
      </x:c>
      <x:c r="I95" s="69" t="n">
        <x:f>H95/'Gia dinh'!$B$6</x:f>
        <x:v>0.8571428571428571</x:v>
      </x:c>
      <x:c r="J95" s="69" t="n">
        <x:f>G95-I95</x:f>
        <x:v>-0.250206440957886</x:v>
      </x:c>
      <x:c r="K95" s="71" t="n">
        <x:v>10380000</x:v>
      </x:c>
      <x:c r="L95" s="71" t="n">
        <x:f>E95*'Gia dinh'!$B$7</x:f>
        <x:v>7350000</x:v>
      </x:c>
      <x:c r="M95" s="80" t="n">
        <x:f>L95-K95</x:f>
        <x:v>-3030000</x:v>
      </x:c>
      <x:c r="N95" s="72" t="n">
        <x:f>M95/K95</x:f>
        <x:v>-0.29190751445086704</x:v>
      </x:c>
      <x:c r="O95" s="66" t="n">
        <x:v>10</x:v>
      </x:c>
      <x:c r="P95" s="66" t="n">
        <x:v>5</x:v>
      </x:c>
      <x:c r="Q95" s="67" t="str">
        <x:f>IF(M95&lt;=0,"Loại",IF(AND(J95&gt;=0.03,P95&lt;=8),"Khuyến nghị","Theo dõi"))</x:f>
        <x:v>Loại</x:v>
      </x:c>
    </x:row>
    <x:row r="96">
      <x:c r="A96" s="66" t="n">
        <x:v>95</x:v>
      </x:c>
      <x:c r="B96" s="67" t="str">
        <x:v>numberWeightedRisk</x:v>
      </x:c>
      <x:c r="C96" s="68" t="n">
        <x:v>40</x:v>
      </x:c>
      <x:c r="D96" s="68" t="n">
        <x:v>173</x:v>
      </x:c>
      <x:c r="E96" s="68" t="n">
        <x:v>105</x:v>
      </x:c>
      <x:c r="F96" s="68" t="n">
        <x:v>68</x:v>
      </x:c>
      <x:c r="G96" s="69" t="n">
        <x:f>E96/D96</x:f>
        <x:v>0.6069364161849711</x:v>
      </x:c>
      <x:c r="H96" s="70" t="n">
        <x:f>K96/D96/'Gia dinh'!$B$5</x:f>
        <x:v>60</x:v>
      </x:c>
      <x:c r="I96" s="69" t="n">
        <x:f>H96/'Gia dinh'!$B$6</x:f>
        <x:v>0.8571428571428571</x:v>
      </x:c>
      <x:c r="J96" s="69" t="n">
        <x:f>G96-I96</x:f>
        <x:v>-0.250206440957886</x:v>
      </x:c>
      <x:c r="K96" s="71" t="n">
        <x:v>10380000</x:v>
      </x:c>
      <x:c r="L96" s="71" t="n">
        <x:f>E96*'Gia dinh'!$B$7</x:f>
        <x:v>7350000</x:v>
      </x:c>
      <x:c r="M96" s="80" t="n">
        <x:f>L96-K96</x:f>
        <x:v>-3030000</x:v>
      </x:c>
      <x:c r="N96" s="72" t="n">
        <x:f>M96/K96</x:f>
        <x:v>-0.29190751445086704</x:v>
      </x:c>
      <x:c r="O96" s="66" t="n">
        <x:v>10</x:v>
      </x:c>
      <x:c r="P96" s="66" t="n">
        <x:v>5</x:v>
      </x:c>
      <x:c r="Q96" s="67" t="str">
        <x:f>IF(M96&lt;=0,"Loại",IF(AND(J96&gt;=0.03,P96&lt;=8),"Khuyến nghị","Theo dõi"))</x:f>
        <x:v>Loại</x:v>
      </x:c>
    </x:row>
    <x:row r="97">
      <x:c r="A97" s="73" t="n">
        <x:v>96</x:v>
      </x:c>
      <x:c r="B97" s="74" t="str">
        <x:v>numberWeightedRisk</x:v>
      </x:c>
      <x:c r="C97" s="75" t="n">
        <x:v>35</x:v>
      </x:c>
      <x:c r="D97" s="75" t="n">
        <x:v>173</x:v>
      </x:c>
      <x:c r="E97" s="75" t="n">
        <x:v>117</x:v>
      </x:c>
      <x:c r="F97" s="75" t="n">
        <x:v>56</x:v>
      </x:c>
      <x:c r="G97" s="76" t="n">
        <x:f>E97/D97</x:f>
        <x:v>0.6763005780346821</x:v>
      </x:c>
      <x:c r="H97" s="77" t="n">
        <x:f>K97/D97/'Gia dinh'!$B$5</x:f>
        <x:v>65</x:v>
      </x:c>
      <x:c r="I97" s="76" t="n">
        <x:f>H97/'Gia dinh'!$B$6</x:f>
        <x:v>0.9285714285714286</x:v>
      </x:c>
      <x:c r="J97" s="76" t="n">
        <x:f>G97-I97</x:f>
        <x:v>-0.25227085053674647</x:v>
      </x:c>
      <x:c r="K97" s="78" t="n">
        <x:v>11245000</x:v>
      </x:c>
      <x:c r="L97" s="78" t="n">
        <x:f>E97*'Gia dinh'!$B$7</x:f>
        <x:v>8190000</x:v>
      </x:c>
      <x:c r="M97" s="81" t="n">
        <x:f>L97-K97</x:f>
        <x:v>-3055000</x:v>
      </x:c>
      <x:c r="N97" s="79" t="n">
        <x:f>M97/K97</x:f>
        <x:v>-0.27167630057803466</x:v>
      </x:c>
      <x:c r="O97" s="73" t="n">
        <x:v>10</x:v>
      </x:c>
      <x:c r="P97" s="73" t="n">
        <x:v>3</x:v>
      </x:c>
      <x:c r="Q97" s="74" t="str">
        <x:f>IF(M97&lt;=0,"Loại",IF(AND(J97&gt;=0.03,P97&lt;=8),"Khuyến nghị","Theo dõi"))</x:f>
        <x:v>Loại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>
      <x:c r="A1" s="11" t="str">
        <x:v>Giả định và nguồn dữ liệu</x:v>
      </x:c>
      <x:c r="B1" s="11"/>
      <x:c r="C1" s="11"/>
      <x:c r="D1" s="11"/>
    </x:row>
    <x:row r="2">
      <x:c r="A2" s="12"/>
      <x:c r="B2" s="12"/>
      <x:c r="C2" s="12"/>
      <x:c r="D2" s="12"/>
    </x:row>
    <x:row r="3">
      <x:c r="A3" s="13"/>
      <x:c r="B3" s="13"/>
      <x:c r="C3" s="13"/>
      <x:c r="D3" s="13"/>
    </x:row>
    <x:row r="4">
      <x:c r="A4" s="14" t="str">
        <x:v>Giả định</x:v>
      </x:c>
      <x:c r="B4" s="14" t="str">
        <x:v>Giá trị</x:v>
      </x:c>
      <x:c r="C4" s="13"/>
      <x:c r="D4" s="13"/>
    </x:row>
    <x:row r="5">
      <x:c r="A5" s="13" t="str">
        <x:v>Tiền đánh mỗi số (K)</x:v>
      </x:c>
      <x:c r="B5" s="15" t="n">
        <x:v>1000</x:v>
      </x:c>
      <x:c r="C5" s="13"/>
      <x:c r="D5" s="13"/>
    </x:row>
    <x:row r="6">
      <x:c r="A6" s="13" t="str">
        <x:v>Tỷ lệ ăn</x:v>
      </x:c>
      <x:c r="B6" s="15" t="n">
        <x:v>70</x:v>
      </x:c>
      <x:c r="C6" s="13"/>
      <x:c r="D6" s="13"/>
    </x:row>
    <x:row r="7">
      <x:c r="A7" s="13" t="str">
        <x:v>Payout mỗi ngày trúng (K)</x:v>
      </x:c>
      <x:c r="B7" s="15" t="n">
        <x:v>70000</x:v>
      </x:c>
      <x:c r="C7" s="13"/>
      <x:c r="D7" s="13"/>
    </x:row>
    <x:row r="8">
      <x:c r="A8" s="13" t="str">
        <x:v>Từ ngày</x:v>
      </x:c>
      <x:c r="B8" s="13" t="str">
        <x:v>2026-01-01</x:v>
      </x:c>
      <x:c r="C8" s="13"/>
      <x:c r="D8" s="13"/>
    </x:row>
    <x:row r="9">
      <x:c r="A9" s="13" t="str">
        <x:v>Đến ngày</x:v>
      </x:c>
      <x:c r="B9" s="13" t="str">
        <x:v>2026-06-26</x:v>
      </x:c>
      <x:c r="C9" s="13"/>
      <x:c r="D9" s="13"/>
    </x:row>
    <x:row r="10">
      <x:c r="A10" s="13"/>
      <x:c r="B10" s="13"/>
      <x:c r="C10" s="13"/>
      <x:c r="D10" s="13"/>
    </x:row>
    <x:row r="11">
      <x:c r="A11" s="16" t="str">
        <x:v>Nguồn / lưu ý</x:v>
      </x:c>
      <x:c r="B11" s="16" t="str"/>
      <x:c r="C11" s="16" t="str"/>
      <x:c r="D11" s="16" t="str"/>
    </x:row>
    <x:row r="12">
      <x:c r="A12" s="17" t="str">
        <x:v>Nguồn backtest</x:v>
      </x:c>
      <x:c r="B12" s="18" t="str">
        <x:v>/Users/chungtv/Desktop/lottery-stats-vercel/reports/annual_20y_milestone_backtest_2026-06-27T05-17-07.json</x:v>
      </x:c>
      <x:c r="C12" s="18" t="str"/>
      <x:c r="D12" s="18" t="str"/>
    </x:row>
    <x:row r="13">
      <x:c r="A13" s="17" t="str">
        <x:v>Nguồn dữ liệu</x:v>
      </x:c>
      <x:c r="B13" s="18" t="str">
        <x:v>Cloudflare R2, 7.473 kỳ đến 2026-06-26</x:v>
      </x:c>
      <x:c r="C13" s="18" t="str"/>
      <x:c r="D13" s="18" t="str"/>
    </x:row>
    <x:row r="14">
      <x:c r="A14" s="17" t="str">
        <x:v>Logic</x:v>
      </x:c>
      <x:c r="B14" s="18" t="str">
        <x:v>Mốc 20 năm, baseline năm 2026, đánh giá point-in-time theo ngày</x:v>
      </x:c>
      <x:c r="C14" s="18" t="str"/>
      <x:c r="D14" s="18" t="str"/>
    </x:row>
    <x:row r="15">
      <x:c r="A15" s="19" t="str">
        <x:v>Cảnh báo</x:v>
      </x:c>
      <x:c r="B15" s="20" t="str">
        <x:v>Kết quả lịch sử không đảm bảo lợi nhuận tương lai.</x:v>
      </x:c>
      <x:c r="C15" s="20" t="str"/>
      <x:c r="D15" s="20" t="str"/>
    </x:row>
  </x:sheetData>
  <x:mergeCells>
    <x:mergeCell ref="A1:D2"/>
    <x:mergeCell ref="A11:D11"/>
    <x:mergeCell ref="B12:D12"/>
    <x:mergeCell ref="B13:D13"/>
    <x:mergeCell ref="B14:D14"/>
    <x:mergeCell ref="B15:D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6" hidden="0" customWidth="1"/>
  </x:cols>
  <x:sheetData>
    <x:row r="1">
      <x:c r="A1" s="2" t="str">
        <x:v>Kiểm tra báo cáo</x:v>
      </x:c>
      <x:c r="B1" s="2"/>
      <x:c r="C1" s="2"/>
      <x:c r="D1" s="2"/>
      <x:c r="E1" s="2"/>
      <x:c r="F1" s="2"/>
    </x:row>
    <x:row r="2">
      <x:c r="A2" s="2"/>
      <x:c r="B2" s="2"/>
      <x:c r="C2" s="2"/>
      <x:c r="D2" s="2"/>
      <x:c r="E2" s="2"/>
      <x:c r="F2" s="2"/>
    </x:row>
    <x:row r="4">
      <x:c r="A4" s="5" t="str">
        <x:v>Kiểm tra</x:v>
      </x:c>
      <x:c r="B4" s="5" t="str">
        <x:v>Thực tế</x:v>
      </x:c>
      <x:c r="C4" s="5" t="str">
        <x:v>Kỳ vọng</x:v>
      </x:c>
      <x:c r="D4" s="5" t="str">
        <x:v>Chênh lệch</x:v>
      </x:c>
      <x:c r="E4" s="5" t="str">
        <x:v>Trạng thái</x:v>
      </x:c>
      <x:c r="F4" s="5" t="str">
        <x:v>Ghi chú</x:v>
      </x:c>
    </x:row>
    <x:row r="5">
      <x:c r="A5" s="31" t="str">
        <x:v>Số cấu hình</x:v>
      </x:c>
      <x:c r="B5" s="31" t="n">
        <x:v>96</x:v>
      </x:c>
      <x:c r="C5" s="31" t="n">
        <x:v>96</x:v>
      </x:c>
      <x:c r="D5" s="31" t="n">
        <x:f>B5-C5</x:f>
        <x:v>0</x:v>
      </x:c>
      <x:c r="E5" s="152" t="str">
        <x:f>IF(D5=0,"OK","LOI")</x:f>
        <x:v>OK</x:v>
      </x:c>
      <x:c r="F5" s="31" t="str">
        <x:v>Tất cả strategy x hold</x:v>
      </x:c>
    </x:row>
    <x:row r="6">
      <x:c r="A6" s="13" t="str">
        <x:v>Số phương án profit dương</x:v>
      </x:c>
      <x:c r="B6" s="13" t="n">
        <x:v>10</x:v>
      </x:c>
      <x:c r="C6" s="13" t="n">
        <x:v>10</x:v>
      </x:c>
      <x:c r="D6" s="13" t="n">
        <x:f>B6-C6</x:f>
        <x:v>0</x:v>
      </x:c>
      <x:c r="E6" s="153" t="str">
        <x:f>IF(D6=0,"OK","LOI")</x:f>
        <x:v>OK</x:v>
      </x:c>
      <x:c r="F6" s="13" t="str">
        <x:v>Profit = Wins x 70.000K - Stake</x:v>
      </x:c>
    </x:row>
    <x:row r="7">
      <x:c r="A7" s="13" t="str">
        <x:v>Profit top</x:v>
      </x:c>
      <x:c r="B7" s="13" t="n">
        <x:v>507000</x:v>
      </x:c>
      <x:c r="C7" s="13" t="n">
        <x:v>507000</x:v>
      </x:c>
      <x:c r="D7" s="13" t="n">
        <x:f>B7-C7</x:f>
        <x:v>0</x:v>
      </x:c>
      <x:c r="E7" s="153" t="str">
        <x:f>IF(D7=0,"OK","LOI")</x:f>
        <x:v>OK</x:v>
      </x:c>
      <x:c r="F7" s="13" t="str">
        <x:v>Đối chiếu dòng đầu Chi tiết</x:v>
      </x:c>
    </x:row>
    <x:row r="8">
      <x:c r="A8" s="44" t="str">
        <x:v>Tổng ngày</x:v>
      </x:c>
      <x:c r="B8" s="44" t="n">
        <x:v>173</x:v>
      </x:c>
      <x:c r="C8" s="44" t="n">
        <x:v>173</x:v>
      </x:c>
      <x:c r="D8" s="44" t="n">
        <x:f>B8-C8</x:f>
        <x:v>0</x:v>
      </x:c>
      <x:c r="E8" s="154" t="str">
        <x:f>IF(D8=0,"OK","LOI")</x:f>
        <x:v>OK</x:v>
      </x:c>
      <x:c r="F8" s="44" t="str">
        <x:v>Đến 26/06/2026</x:v>
      </x:c>
    </x:row>
  </x:sheetData>
  <x:mergeCells>
    <x:mergeCell ref="A1:F2"/>
  </x:mergeCells>
  <x:pageMargins left="0.7" right="0.7" top="0.75" bottom="0.75" header="0.3" footer="0.3"/>
</x:worksheet>
</file>