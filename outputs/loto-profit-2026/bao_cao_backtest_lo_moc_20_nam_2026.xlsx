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0aecf4008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7a26248321bd43b0"/>
    <x:sheet xmlns:r="http://schemas.openxmlformats.org/officeDocument/2006/relationships" name="So sánh" sheetId="2" r:id="Rb1f49722c13d4dd3"/>
    <x:sheet xmlns:r="http://schemas.openxmlformats.org/officeDocument/2006/relationships" name="Giả định" sheetId="3" r:id="R653166bf0cfa4933"/>
    <x:sheet xmlns:r="http://schemas.openxmlformats.org/officeDocument/2006/relationships" name="Kiểm tra" sheetId="4" r:id="Rbf9d53ed481e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"/>
    <x:numFmt numFmtId="202" formatCode="0.00%"/>
    <x:numFmt numFmtId="203" formatCode="#,##0;[Red](#,##0);-"/>
    <x:numFmt numFmtId="204" formatCode="0.00%;[Red](0.00%);-"/>
    <x:numFmt numFmtId="205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15803D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11"/>
      <x:color rgb="FF64748B"/>
      <x:name val="Carlito"/>
    </x:font>
    <x:font>
      <x:b/>
      <x:sz val="16"/>
      <x:color rgb="FF111827"/>
      <x:name val="Carlito"/>
    </x:font>
    <x:font>
      <x:b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2563EB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BEB"/>
      </x:patternFill>
    </x:fill>
  </x:fills>
  <x:borders count="16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0" fillId="4" borderId="0" xfId="0" applyNumberFormat="1" applyFont="1" applyFill="1" applyBorder="1"/>
    <x:xf numFmtId="205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204" fontId="0" fillId="4" borderId="1" xfId="0" applyNumberFormat="1" applyFont="1" applyFill="1" applyBorder="1"/>
    <x:xf numFmtId="205" fontId="0" fillId="4" borderId="1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202" fontId="0" fillId="4" borderId="2" xfId="0" applyNumberFormat="1" applyFont="1" applyFill="1" applyBorder="1"/>
    <x:xf numFmtId="203" fontId="0" fillId="4" borderId="2" xfId="0" applyNumberFormat="1" applyFont="1" applyFill="1" applyBorder="1"/>
    <x:xf numFmtId="204" fontId="0" fillId="4" borderId="2" xfId="0" applyNumberFormat="1" applyFont="1" applyFill="1" applyBorder="1"/>
    <x:xf numFmtId="205" fontId="0" fillId="4" borderId="2" xfId="0" applyNumberFormat="1" applyFont="1" applyFill="1" applyBorder="1"/>
    <x:xf numFmtId="200" fontId="0" fillId="4" borderId="3" xfId="0" applyNumberFormat="1" applyFont="1" applyFill="1" applyBorder="1"/>
    <x:xf numFmtId="201" fontId="0" fillId="4" borderId="3" xfId="0" applyNumberFormat="1" applyFont="1" applyFill="1" applyBorder="1"/>
    <x:xf numFmtId="202" fontId="0" fillId="4" borderId="3" xfId="0" applyNumberFormat="1" applyFont="1" applyFill="1" applyBorder="1"/>
    <x:xf numFmtId="203" fontId="0" fillId="4" borderId="3" xfId="0" applyNumberFormat="1" applyFont="1" applyFill="1" applyBorder="1"/>
    <x:xf numFmtId="204" fontId="0" fillId="4" borderId="3" xfId="0" applyNumberFormat="1" applyFont="1" applyFill="1" applyBorder="1"/>
    <x:xf numFmtId="205" fontId="0" fillId="4" borderId="3" xfId="0" applyNumberFormat="1" applyFont="1" applyFill="1" applyBorder="1"/>
    <x:xf numFmtId="203" fontId="5" fillId="4" borderId="1" xfId="0" applyNumberFormat="1" applyFont="1" applyFill="1" applyBorder="1"/>
    <x:xf numFmtId="203" fontId="5" fillId="4" borderId="2" xfId="0" applyNumberFormat="1" applyFont="1" applyFill="1" applyBorder="1"/>
    <x:xf numFmtId="203" fontId="5" fillId="4" borderId="3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200" fontId="9" fillId="6" borderId="4" xfId="0" applyNumberFormat="1" applyFont="1" applyFill="1" applyBorder="1" applyAlignment="1">
      <x:alignment horizontal="center" vertical="center"/>
    </x:xf>
    <x:xf numFmtId="200" fontId="9" fillId="6" borderId="5" xfId="0" applyNumberFormat="1" applyFont="1" applyFill="1" applyBorder="1" applyAlignment="1">
      <x:alignment horizontal="center" vertical="center"/>
    </x:xf>
    <x:xf numFmtId="200" fontId="9" fillId="6" borderId="6" xfId="0" applyNumberFormat="1" applyFont="1" applyFill="1" applyBorder="1" applyAlignment="1">
      <x:alignment horizontal="center" vertical="center"/>
    </x:xf>
    <x:xf numFmtId="200" fontId="9" fillId="6" borderId="7" xfId="0" applyNumberFormat="1" applyFont="1" applyFill="1" applyBorder="1" applyAlignment="1">
      <x:alignment horizontal="center" vertical="center"/>
    </x:xf>
    <x:xf numFmtId="202" fontId="9" fillId="6" borderId="4" xfId="0" applyNumberFormat="1" applyFont="1" applyFill="1" applyBorder="1" applyAlignment="1">
      <x:alignment horizontal="center" vertical="center"/>
    </x:xf>
    <x:xf numFmtId="202" fontId="9" fillId="6" borderId="5" xfId="0" applyNumberFormat="1" applyFont="1" applyFill="1" applyBorder="1" applyAlignment="1">
      <x:alignment horizontal="center" vertical="center"/>
    </x:xf>
    <x:xf numFmtId="202" fontId="9" fillId="6" borderId="6" xfId="0" applyNumberFormat="1" applyFont="1" applyFill="1" applyBorder="1" applyAlignment="1">
      <x:alignment horizontal="center" vertical="center"/>
    </x:xf>
    <x:xf numFmtId="202" fontId="9" fillId="6" borderId="7" xfId="0" applyNumberFormat="1" applyFont="1" applyFill="1" applyBorder="1" applyAlignment="1">
      <x:alignment horizontal="center" vertical="center"/>
    </x:xf>
    <x:xf numFmtId="205" fontId="9" fillId="6" borderId="4" xfId="0" applyNumberFormat="1" applyFont="1" applyFill="1" applyBorder="1" applyAlignment="1">
      <x:alignment horizontal="center" vertical="center"/>
    </x:xf>
    <x:xf numFmtId="205" fontId="9" fillId="6" borderId="5" xfId="0" applyNumberFormat="1" applyFont="1" applyFill="1" applyBorder="1" applyAlignment="1">
      <x:alignment horizontal="center" vertical="center"/>
    </x:xf>
    <x:xf numFmtId="205" fontId="9" fillId="6" borderId="6" xfId="0" applyNumberFormat="1" applyFont="1" applyFill="1" applyBorder="1" applyAlignment="1">
      <x:alignment horizontal="center" vertical="center"/>
    </x:xf>
    <x:xf numFmtId="205" fontId="9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200" fontId="5" fillId="4" borderId="1" xfId="0" applyNumberFormat="1" applyFont="1" applyFill="1" applyBorder="1"/>
    <x:xf numFmtId="200" fontId="5" fillId="4" borderId="2" xfId="0" applyNumberFormat="1" applyFont="1" applyFill="1" applyBorder="1"/>
    <x:xf numFmtId="200" fontId="5" fillId="4" borderId="3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8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12" xfId="0" applyNumberFormat="1" applyFont="1" applyFill="1" applyBorder="1" applyAlignment="1">
      <x:alignment wrapText="1"/>
    </x:xf>
    <x:xf numFmtId="0" fontId="10" fillId="8" borderId="13" xfId="0" applyNumberFormat="1" applyFont="1" applyFill="1" applyBorder="1" applyAlignment="1">
      <x:alignment wrapText="1"/>
    </x:xf>
    <x:xf numFmtId="0" fontId="10" fillId="8" borderId="14" xfId="0" applyNumberFormat="1" applyFont="1" applyFill="1" applyBorder="1" applyAlignment="1">
      <x:alignment wrapText="1"/>
    </x:xf>
    <x:xf numFmtId="0" fontId="10" fillId="8" borderId="15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9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2" xfId="0" applyNumberFormat="1" applyFont="1" applyFill="1" applyBorder="1" applyAlignment="1">
      <x:alignment vertical="center" wrapText="1"/>
    </x:xf>
    <x:xf numFmtId="0" fontId="10" fillId="8" borderId="13" xfId="0" applyNumberFormat="1" applyFont="1" applyFill="1" applyBorder="1" applyAlignment="1">
      <x:alignment vertical="center" wrapText="1"/>
    </x:xf>
    <x:xf numFmtId="0" fontId="10" fillId="8" borderId="14" xfId="0" applyNumberFormat="1" applyFont="1" applyFill="1" applyBorder="1" applyAlignment="1">
      <x:alignment vertical="center" wrapText="1"/>
    </x:xf>
    <x:xf numFmtId="0" fontId="10" fillId="8" borderId="1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471d526a649a8" /><Relationship Type="http://schemas.openxmlformats.org/officeDocument/2006/relationships/theme" Target="/xl/theme/theme1.xml" Id="R3d04a232da704c68" /><Relationship Type="http://schemas.openxmlformats.org/officeDocument/2006/relationships/sharedStrings" Target="/xl/sharedStrings.xml" Id="R5472eb23b9674356" /><Relationship Type="http://schemas.openxmlformats.org/officeDocument/2006/relationships/worksheet" Target="/xl/worksheets/sheet1.xml" Id="R7a26248321bd43b0" /><Relationship Type="http://schemas.openxmlformats.org/officeDocument/2006/relationships/worksheet" Target="/xl/worksheets/sheet2.xml" Id="Rb1f49722c13d4dd3" /><Relationship Type="http://schemas.openxmlformats.org/officeDocument/2006/relationships/worksheet" Target="/xl/worksheets/sheet3.xml" Id="R653166bf0cfa4933" /><Relationship Type="http://schemas.openxmlformats.org/officeDocument/2006/relationships/worksheet" Target="/xl/worksheets/sheet4.xml" Id="Rbf9d53ed481e4e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986161556147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theo kích thước dàn (K)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 (K)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quan'!$J$3:$J$7</c:f>
              <c:strCache>
                <c:ptCount val="0"/>
              </c:strCache>
            </c:strRef>
          </c:cat>
          <c:val>
            <c:numRef>
              <c:f>'Tổng quan'!$K$3:$K$7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986161556147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4cb7cab0fc45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8" hidden="0" customWidth="1"/>
    <x:col min="11" max="11" width="16" hidden="0" customWidth="1"/>
  </x:cols>
  <x:sheetData>
    <x:row r="1">
      <x:c r="A1" s="47" t="str">
        <x:v>Backtest Lô Mốc 20 năm - 2026</x:v>
      </x:c>
      <x:c r="B1" s="47"/>
      <x:c r="C1" s="47"/>
      <x:c r="D1" s="47"/>
      <x:c r="E1" s="47"/>
      <x:c r="F1" s="47"/>
      <x:c r="G1" s="47"/>
      <x:c r="H1" s="47"/>
    </x:row>
    <x:row r="2">
      <x:c r="A2" s="47"/>
      <x:c r="B2" s="47"/>
      <x:c r="C2" s="47"/>
      <x:c r="D2" s="47"/>
      <x:c r="E2" s="47"/>
      <x:c r="F2" s="47"/>
      <x:c r="G2" s="47"/>
      <x:c r="H2" s="47"/>
      <x:c r="J2" t="str">
        <x:v>Dàn số</x:v>
      </x:c>
      <x:c r="K2" t="str">
        <x:v>Profit (K)</x:v>
      </x:c>
    </x:row>
    <x:row r="3">
      <x:c r="A3" s="49" t="str">
        <x:v>01/01/2026-26/06/2026 | 173 ngày | 27 vị trí | Hold 65 | Two-hit Greedy | 2.300K ăn 8.000K/hit</x:v>
      </x:c>
      <x:c r="B3" s="49"/>
      <x:c r="C3" s="49"/>
      <x:c r="D3" s="49"/>
      <x:c r="E3" s="49"/>
      <x:c r="F3" s="49"/>
      <x:c r="G3" s="49"/>
      <x:c r="H3" s="49"/>
      <x:c r="J3" t="str">
        <x:v>Top 6</x:v>
      </x:c>
      <x:c r="K3" t="n">
        <x:v>308600</x:v>
      </x:c>
    </x:row>
    <x:row r="4">
      <x:c r="J4" t="str">
        <x:v>Top 5</x:v>
      </x:c>
      <x:c r="K4" t="n">
        <x:v>290500</x:v>
      </x:c>
    </x:row>
    <x:row r="5">
      <x:c r="A5" s="51" t="str">
        <x:v>Dàn profit cao nhất</x:v>
      </x:c>
      <x:c r="B5" s="51" t="str">
        <x:v>Dàn profit cao nhất</x:v>
      </x:c>
      <x:c r="C5" s="51" t="str">
        <x:v>Profit cao nhất (K)</x:v>
      </x:c>
      <x:c r="D5" s="51" t="str">
        <x:v>Profit cao nhất (K)</x:v>
      </x:c>
      <x:c r="E5" s="51" t="str">
        <x:v>ROI</x:v>
      </x:c>
      <x:c r="F5" s="51" t="str">
        <x:v>ROI</x:v>
      </x:c>
      <x:c r="G5" s="51" t="str">
        <x:v>Ngày có lãi</x:v>
      </x:c>
      <x:c r="H5" s="51" t="str">
        <x:v>Ngày có lãi</x:v>
      </x:c>
      <x:c r="J5" t="str">
        <x:v>Top 7</x:v>
      </x:c>
      <x:c r="K5" t="n">
        <x:v>262700</x:v>
      </x:c>
    </x:row>
    <x:row r="6">
      <x:c r="A6" s="62" t="str">
        <x:f>'So sánh'!B2&amp;" số"</x:f>
        <x:v>6 số</x:v>
      </x:c>
      <x:c r="B6" s="63"/>
      <x:c r="C6" s="66" t="n">
        <x:f>'So sánh'!N2</x:f>
        <x:v>308600</x:v>
      </x:c>
      <x:c r="D6" s="67"/>
      <x:c r="E6" s="70" t="n">
        <x:f>'So sánh'!O2</x:f>
        <x:v>0.12926195861606768</x:v>
      </x:c>
      <x:c r="F6" s="71"/>
      <x:c r="G6" s="74" t="n">
        <x:f>'So sánh'!P2</x:f>
        <x:v>106</x:v>
      </x:c>
      <x:c r="H6" s="75"/>
      <x:c r="J6" t="str">
        <x:v>Top 4</x:v>
      </x:c>
      <x:c r="K6" t="n">
        <x:v>240400</x:v>
      </x:c>
    </x:row>
    <x:row r="7">
      <x:c r="A7" s="64"/>
      <x:c r="B7" s="65"/>
      <x:c r="C7" s="68"/>
      <x:c r="D7" s="69"/>
      <x:c r="E7" s="72"/>
      <x:c r="F7" s="73"/>
      <x:c r="G7" s="76"/>
      <x:c r="H7" s="77"/>
      <x:c r="J7" t="str">
        <x:v>Top 3</x:v>
      </x:c>
      <x:c r="K7" t="n">
        <x:v>214300</x:v>
      </x:c>
    </x:row>
    <x:row r="9">
      <x:c r="A9" s="79" t="str">
        <x:v>So sánh dàn 3-7 số</x:v>
      </x:c>
      <x:c r="B9" s="79"/>
      <x:c r="C9" s="79"/>
      <x:c r="D9" s="79"/>
      <x:c r="E9" s="79"/>
      <x:c r="F9" s="79"/>
      <x:c r="G9" s="79"/>
      <x:c r="H9" s="79"/>
    </x:row>
    <x:row r="10">
      <x:c r="A10" s="80" t="str">
        <x:v>Dàn</x:v>
      </x:c>
      <x:c r="B10" s="80" t="str">
        <x:v>Profit (K)</x:v>
      </x:c>
      <x:c r="C10" s="80" t="str">
        <x:v>ROI</x:v>
      </x:c>
      <x:c r="D10" s="80" t="str">
        <x:v>Có hit</x:v>
      </x:c>
      <x:c r="E10" s="80" t="str">
        <x:v>&gt;=2 hit</x:v>
      </x:c>
      <x:c r="F10" s="80" t="str">
        <x:v>&gt;=3 hit</x:v>
      </x:c>
      <x:c r="G10" s="80" t="str">
        <x:v>Hit TB/ngày</x:v>
      </x:c>
      <x:c r="H10" s="80" t="str">
        <x:v>Thua dài nhất</x:v>
      </x:c>
    </x:row>
    <x:row r="11">
      <x:c r="A11" s="82" t="n">
        <x:f>'So sánh'!B2</x:f>
        <x:v>6</x:v>
      </x:c>
      <x:c r="B11" s="88" t="n">
        <x:f>'So sánh'!N2</x:f>
        <x:v>308600</x:v>
      </x:c>
      <x:c r="C11" s="27" t="n">
        <x:f>'So sánh'!O2</x:f>
        <x:v>0.12926195861606768</x:v>
      </x:c>
      <x:c r="D11" s="27" t="n">
        <x:f>'So sánh'!I2</x:f>
        <x:v>0.8959537572254336</x:v>
      </x:c>
      <x:c r="E11" s="27" t="n">
        <x:f>'So sánh'!J2</x:f>
        <x:v>0.6127167630057804</x:v>
      </x:c>
      <x:c r="F11" s="27" t="n">
        <x:f>'So sánh'!K2</x:f>
        <x:v>0.30057803468208094</x:v>
      </x:c>
      <x:c r="G11" s="26" t="n">
        <x:f>'So sánh'!H2</x:f>
        <x:v>1.9479768786127167</x:v>
      </x:c>
      <x:c r="H11" s="82" t="n">
        <x:f>'So sánh'!Q2</x:f>
        <x:v>3</x:v>
      </x:c>
    </x:row>
    <x:row r="12">
      <x:c r="A12" s="83" t="n">
        <x:f>'So sánh'!B3</x:f>
        <x:v>5</x:v>
      </x:c>
      <x:c r="B12" s="89" t="n">
        <x:f>'So sánh'!N3</x:f>
        <x:v>290500</x:v>
      </x:c>
      <x:c r="C12" s="33" t="n">
        <x:f>'So sánh'!O3</x:f>
        <x:v>0.14601658708218146</x:v>
      </x:c>
      <x:c r="D12" s="33" t="n">
        <x:f>'So sánh'!I3</x:f>
        <x:v>0.8497109826589595</x:v>
      </x:c>
      <x:c r="E12" s="33" t="n">
        <x:f>'So sánh'!J3</x:f>
        <x:v>0.5028901734104047</x:v>
      </x:c>
      <x:c r="F12" s="33" t="n">
        <x:f>'So sánh'!K3</x:f>
        <x:v>0.2138728323699422</x:v>
      </x:c>
      <x:c r="G12" s="32" t="n">
        <x:f>'So sánh'!H3</x:f>
        <x:v>1.6473988439306357</x:v>
      </x:c>
      <x:c r="H12" s="83" t="n">
        <x:f>'So sánh'!Q3</x:f>
        <x:v>6</x:v>
      </x:c>
    </x:row>
    <x:row r="13">
      <x:c r="A13" s="83" t="n">
        <x:f>'So sánh'!B4</x:f>
        <x:v>7</x:v>
      </x:c>
      <x:c r="B13" s="89" t="n">
        <x:f>'So sánh'!N4</x:f>
        <x:v>262700</x:v>
      </x:c>
      <x:c r="C13" s="33" t="n">
        <x:f>'So sánh'!O4</x:f>
        <x:v>0.09431659067245898</x:v>
      </x:c>
      <x:c r="D13" s="33" t="n">
        <x:f>'So sánh'!I4</x:f>
        <x:v>0.930635838150289</x:v>
      </x:c>
      <x:c r="E13" s="33" t="n">
        <x:f>'So sánh'!J4</x:f>
        <x:v>0.6820809248554913</x:v>
      </x:c>
      <x:c r="F13" s="33" t="n">
        <x:f>'So sánh'!K4</x:f>
        <x:v>0.3930635838150289</x:v>
      </x:c>
      <x:c r="G13" s="32" t="n">
        <x:f>'So sánh'!H4</x:f>
        <x:v>2.2023121387283235</x:v>
      </x:c>
      <x:c r="H13" s="83" t="n">
        <x:f>'So sánh'!Q4</x:f>
        <x:v>9</x:v>
      </x:c>
    </x:row>
    <x:row r="14">
      <x:c r="A14" s="83" t="n">
        <x:f>'So sánh'!B5</x:f>
        <x:v>4</x:v>
      </x:c>
      <x:c r="B14" s="89" t="n">
        <x:f>'So sánh'!N5</x:f>
        <x:v>240400</x:v>
      </x:c>
      <x:c r="C14" s="33" t="n">
        <x:f>'So sánh'!O5</x:f>
        <x:v>0.15104297562201557</x:v>
      </x:c>
      <x:c r="D14" s="33" t="n">
        <x:f>'So sánh'!I5</x:f>
        <x:v>0.7745664739884393</x:v>
      </x:c>
      <x:c r="E14" s="33" t="n">
        <x:f>'So sánh'!J5</x:f>
        <x:v>0.3930635838150289</x:v>
      </x:c>
      <x:c r="F14" s="33" t="n">
        <x:f>'So sánh'!K5</x:f>
        <x:v>0.1329479768786127</x:v>
      </x:c>
      <x:c r="G14" s="32" t="n">
        <x:f>'So sánh'!H5</x:f>
        <x:v>1.323699421965318</x:v>
      </x:c>
      <x:c r="H14" s="83" t="n">
        <x:f>'So sánh'!Q5</x:f>
        <x:v>6</x:v>
      </x:c>
    </x:row>
    <x:row r="15">
      <x:c r="A15" s="84" t="n">
        <x:f>'So sánh'!B6</x:f>
        <x:v>3</x:v>
      </x:c>
      <x:c r="B15" s="90" t="n">
        <x:f>'So sánh'!N6</x:f>
        <x:v>214300</x:v>
      </x:c>
      <x:c r="C15" s="39" t="n">
        <x:f>'So sánh'!O6</x:f>
        <x:v>0.179525844014409</x:v>
      </x:c>
      <x:c r="D15" s="39" t="n">
        <x:f>'So sánh'!I6</x:f>
        <x:v>0.6820809248554913</x:v>
      </x:c>
      <x:c r="E15" s="39" t="n">
        <x:f>'So sánh'!J6</x:f>
        <x:v>0.2543352601156069</x:v>
      </x:c>
      <x:c r="F15" s="39" t="n">
        <x:f>'So sánh'!K6</x:f>
        <x:v>0.07514450867052024</x:v>
      </x:c>
      <x:c r="G15" s="38" t="n">
        <x:f>'So sánh'!H6</x:f>
        <x:v>1.0173410404624277</x:v>
      </x:c>
      <x:c r="H15" s="84" t="n">
        <x:f>'So sánh'!Q6</x:f>
        <x:v>4</x:v>
      </x:c>
    </x:row>
    <x:row r="18">
      <x:c r="A18" s="110" t="str">
        <x:v>Khuyến nghị theo backtest: top 6 có profit tuyệt đối cao nhất (+308.600K), ROI 12,93%, có lãi 106/173 ngày và chuỗi thua dài nhất 3 ngày. Top 3 có ROI cao nhất nhưng độ phủ thấp hơn; top 7 có độ phủ cao nhất nhưng cần &gt;=3 hit mới có lãi trong ngày.</x:v>
      </x:c>
      <x:c r="B18" s="111"/>
      <x:c r="C18" s="111"/>
      <x:c r="D18" s="111"/>
      <x:c r="E18" s="111"/>
      <x:c r="F18" s="111"/>
      <x:c r="G18" s="111"/>
      <x:c r="H18" s="112"/>
    </x:row>
    <x:row r="19">
      <x:c r="A19" s="113"/>
      <x:c r="B19" s="114"/>
      <x:c r="C19" s="114"/>
      <x:c r="D19" s="114"/>
      <x:c r="E19" s="114"/>
      <x:c r="F19" s="114"/>
      <x:c r="G19" s="114"/>
      <x:c r="H19" s="115"/>
    </x:row>
    <x:row r="20">
      <x:c r="A20" s="113"/>
      <x:c r="B20" s="114"/>
      <x:c r="C20" s="114"/>
      <x:c r="D20" s="114"/>
      <x:c r="E20" s="114"/>
      <x:c r="F20" s="114"/>
      <x:c r="G20" s="114"/>
      <x:c r="H20" s="115"/>
    </x:row>
    <x:row r="21">
      <x:c r="A21" s="116"/>
      <x:c r="B21" s="117"/>
      <x:c r="C21" s="117"/>
      <x:c r="D21" s="117"/>
      <x:c r="E21" s="117"/>
      <x:c r="F21" s="117"/>
      <x:c r="G21" s="117"/>
      <x:c r="H21" s="118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8:H21"/>
  </x:mergeCells>
  <x:pageMargins left="0.7" right="0.7" top="0.75" bottom="0.75" header="0.3" footer="0.3"/>
  <x:drawing xmlns:r="http://schemas.openxmlformats.org/officeDocument/2006/relationships" r:id="R6a4cb7cab0fc455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8" customHeight="1">
      <x:c r="A1" s="12" t="str">
        <x:v>Xếp hạng</x:v>
      </x:c>
      <x:c r="B1" s="12" t="str">
        <x:v>Dàn đánh</x:v>
      </x:c>
      <x:c r="C1" s="12" t="str">
        <x:v>Số ngày</x:v>
      </x:c>
      <x:c r="D1" s="12" t="str">
        <x:v>Ngày có hit</x:v>
      </x:c>
      <x:c r="E1" s="12" t="str">
        <x:v>Ngày &gt;=2 hit</x:v>
      </x:c>
      <x:c r="F1" s="12" t="str">
        <x:v>Ngày &gt;=3 hit</x:v>
      </x:c>
      <x:c r="G1" s="12" t="str">
        <x:v>Tổng hit</x:v>
      </x:c>
      <x:c r="H1" s="12" t="str">
        <x:v>Hit TB/ngày</x:v>
      </x:c>
      <x:c r="I1" s="12" t="str">
        <x:v>Tỷ lệ có hit</x:v>
      </x:c>
      <x:c r="J1" s="12" t="str">
        <x:v>Tỷ lệ &gt;=2</x:v>
      </x:c>
      <x:c r="K1" s="12" t="str">
        <x:v>Tỷ lệ &gt;=3</x:v>
      </x:c>
      <x:c r="L1" s="12" t="str">
        <x:v>Tiền đánh (K)</x:v>
      </x:c>
      <x:c r="M1" s="12" t="str">
        <x:v>Tiền nhận (K)</x:v>
      </x:c>
      <x:c r="N1" s="12" t="str">
        <x:v>Profit (K)</x:v>
      </x:c>
      <x:c r="O1" s="12" t="str">
        <x:v>ROI</x:v>
      </x:c>
      <x:c r="P1" s="12" t="str">
        <x:v>Ngày có lãi</x:v>
      </x:c>
      <x:c r="Q1" s="12" t="str">
        <x:v>Thua dài nhất</x:v>
      </x:c>
      <x:c r="R1" s="12" t="str">
        <x:v>Dưới 2 hit dài nhất</x:v>
      </x:c>
    </x:row>
    <x:row r="2">
      <x:c r="A2" s="25" t="n">
        <x:v>1</x:v>
      </x:c>
      <x:c r="B2" s="25" t="n">
        <x:v>6</x:v>
      </x:c>
      <x:c r="C2" s="25" t="n">
        <x:v>173</x:v>
      </x:c>
      <x:c r="D2" s="25" t="n">
        <x:v>155</x:v>
      </x:c>
      <x:c r="E2" s="25" t="n">
        <x:v>106</x:v>
      </x:c>
      <x:c r="F2" s="25" t="n">
        <x:v>52</x:v>
      </x:c>
      <x:c r="G2" s="25" t="n">
        <x:v>337</x:v>
      </x:c>
      <x:c r="H2" s="26" t="n">
        <x:f>G2/C2</x:f>
        <x:v>1.9479768786127167</x:v>
      </x:c>
      <x:c r="I2" s="27" t="n">
        <x:f>D2/C2</x:f>
        <x:v>0.8959537572254336</x:v>
      </x:c>
      <x:c r="J2" s="27" t="n">
        <x:f>E2/C2</x:f>
        <x:v>0.6127167630057804</x:v>
      </x:c>
      <x:c r="K2" s="27" t="n">
        <x:f>F2/C2</x:f>
        <x:v>0.30057803468208094</x:v>
      </x:c>
      <x:c r="L2" s="28" t="n">
        <x:f>C2*B2*'Giả định'!$B$9</x:f>
        <x:v>2387400</x:v>
      </x:c>
      <x:c r="M2" s="28" t="n">
        <x:f>G2*'Giả định'!$B$10</x:f>
        <x:v>2696000</x:v>
      </x:c>
      <x:c r="N2" s="43" t="n">
        <x:f>M2-L2</x:f>
        <x:v>308600</x:v>
      </x:c>
      <x:c r="O2" s="29" t="n">
        <x:f>N2/L2</x:f>
        <x:v>0.12926195861606768</x:v>
      </x:c>
      <x:c r="P2" s="30" t="n">
        <x:v>106</x:v>
      </x:c>
      <x:c r="Q2" s="30" t="n">
        <x:v>3</x:v>
      </x:c>
      <x:c r="R2" s="30" t="n">
        <x:v>3</x:v>
      </x:c>
    </x:row>
    <x:row r="3">
      <x:c r="A3" s="31" t="n">
        <x:v>2</x:v>
      </x:c>
      <x:c r="B3" s="31" t="n">
        <x:v>5</x:v>
      </x:c>
      <x:c r="C3" s="31" t="n">
        <x:v>173</x:v>
      </x:c>
      <x:c r="D3" s="31" t="n">
        <x:v>147</x:v>
      </x:c>
      <x:c r="E3" s="31" t="n">
        <x:v>87</x:v>
      </x:c>
      <x:c r="F3" s="31" t="n">
        <x:v>37</x:v>
      </x:c>
      <x:c r="G3" s="31" t="n">
        <x:v>285</x:v>
      </x:c>
      <x:c r="H3" s="32" t="n">
        <x:f>G3/C3</x:f>
        <x:v>1.6473988439306357</x:v>
      </x:c>
      <x:c r="I3" s="33" t="n">
        <x:f>D3/C3</x:f>
        <x:v>0.8497109826589595</x:v>
      </x:c>
      <x:c r="J3" s="33" t="n">
        <x:f>E3/C3</x:f>
        <x:v>0.5028901734104047</x:v>
      </x:c>
      <x:c r="K3" s="33" t="n">
        <x:f>F3/C3</x:f>
        <x:v>0.2138728323699422</x:v>
      </x:c>
      <x:c r="L3" s="34" t="n">
        <x:f>C3*B3*'Giả định'!$B$9</x:f>
        <x:v>1989500</x:v>
      </x:c>
      <x:c r="M3" s="34" t="n">
        <x:f>G3*'Giả định'!$B$10</x:f>
        <x:v>2280000</x:v>
      </x:c>
      <x:c r="N3" s="44" t="n">
        <x:f>M3-L3</x:f>
        <x:v>290500</x:v>
      </x:c>
      <x:c r="O3" s="35" t="n">
        <x:f>N3/L3</x:f>
        <x:v>0.14601658708218146</x:v>
      </x:c>
      <x:c r="P3" s="36" t="n">
        <x:v>87</x:v>
      </x:c>
      <x:c r="Q3" s="36" t="n">
        <x:v>6</x:v>
      </x:c>
      <x:c r="R3" s="36" t="n">
        <x:v>6</x:v>
      </x:c>
    </x:row>
    <x:row r="4">
      <x:c r="A4" s="31" t="n">
        <x:v>3</x:v>
      </x:c>
      <x:c r="B4" s="31" t="n">
        <x:v>7</x:v>
      </x:c>
      <x:c r="C4" s="31" t="n">
        <x:v>173</x:v>
      </x:c>
      <x:c r="D4" s="31" t="n">
        <x:v>161</x:v>
      </x:c>
      <x:c r="E4" s="31" t="n">
        <x:v>118</x:v>
      </x:c>
      <x:c r="F4" s="31" t="n">
        <x:v>68</x:v>
      </x:c>
      <x:c r="G4" s="31" t="n">
        <x:v>381</x:v>
      </x:c>
      <x:c r="H4" s="32" t="n">
        <x:f>G4/C4</x:f>
        <x:v>2.2023121387283235</x:v>
      </x:c>
      <x:c r="I4" s="33" t="n">
        <x:f>D4/C4</x:f>
        <x:v>0.930635838150289</x:v>
      </x:c>
      <x:c r="J4" s="33" t="n">
        <x:f>E4/C4</x:f>
        <x:v>0.6820809248554913</x:v>
      </x:c>
      <x:c r="K4" s="33" t="n">
        <x:f>F4/C4</x:f>
        <x:v>0.3930635838150289</x:v>
      </x:c>
      <x:c r="L4" s="34" t="n">
        <x:f>C4*B4*'Giả định'!$B$9</x:f>
        <x:v>2785300</x:v>
      </x:c>
      <x:c r="M4" s="34" t="n">
        <x:f>G4*'Giả định'!$B$10</x:f>
        <x:v>3048000</x:v>
      </x:c>
      <x:c r="N4" s="44" t="n">
        <x:f>M4-L4</x:f>
        <x:v>262700</x:v>
      </x:c>
      <x:c r="O4" s="35" t="n">
        <x:f>N4/L4</x:f>
        <x:v>0.09431659067245898</x:v>
      </x:c>
      <x:c r="P4" s="36" t="n">
        <x:v>68</x:v>
      </x:c>
      <x:c r="Q4" s="36" t="n">
        <x:v>9</x:v>
      </x:c>
      <x:c r="R4" s="36" t="n">
        <x:v>3</x:v>
      </x:c>
    </x:row>
    <x:row r="5">
      <x:c r="A5" s="31" t="n">
        <x:v>4</x:v>
      </x:c>
      <x:c r="B5" s="31" t="n">
        <x:v>4</x:v>
      </x:c>
      <x:c r="C5" s="31" t="n">
        <x:v>173</x:v>
      </x:c>
      <x:c r="D5" s="31" t="n">
        <x:v>134</x:v>
      </x:c>
      <x:c r="E5" s="31" t="n">
        <x:v>68</x:v>
      </x:c>
      <x:c r="F5" s="31" t="n">
        <x:v>23</x:v>
      </x:c>
      <x:c r="G5" s="31" t="n">
        <x:v>229</x:v>
      </x:c>
      <x:c r="H5" s="32" t="n">
        <x:f>G5/C5</x:f>
        <x:v>1.323699421965318</x:v>
      </x:c>
      <x:c r="I5" s="33" t="n">
        <x:f>D5/C5</x:f>
        <x:v>0.7745664739884393</x:v>
      </x:c>
      <x:c r="J5" s="33" t="n">
        <x:f>E5/C5</x:f>
        <x:v>0.3930635838150289</x:v>
      </x:c>
      <x:c r="K5" s="33" t="n">
        <x:f>F5/C5</x:f>
        <x:v>0.1329479768786127</x:v>
      </x:c>
      <x:c r="L5" s="34" t="n">
        <x:f>C5*B5*'Giả định'!$B$9</x:f>
        <x:v>1591600</x:v>
      </x:c>
      <x:c r="M5" s="34" t="n">
        <x:f>G5*'Giả định'!$B$10</x:f>
        <x:v>1832000</x:v>
      </x:c>
      <x:c r="N5" s="44" t="n">
        <x:f>M5-L5</x:f>
        <x:v>240400</x:v>
      </x:c>
      <x:c r="O5" s="35" t="n">
        <x:f>N5/L5</x:f>
        <x:v>0.15104297562201557</x:v>
      </x:c>
      <x:c r="P5" s="36" t="n">
        <x:v>68</x:v>
      </x:c>
      <x:c r="Q5" s="36" t="n">
        <x:v>6</x:v>
      </x:c>
      <x:c r="R5" s="36" t="n">
        <x:v>6</x:v>
      </x:c>
    </x:row>
    <x:row r="6">
      <x:c r="A6" s="37" t="n">
        <x:v>5</x:v>
      </x:c>
      <x:c r="B6" s="37" t="n">
        <x:v>3</x:v>
      </x:c>
      <x:c r="C6" s="37" t="n">
        <x:v>173</x:v>
      </x:c>
      <x:c r="D6" s="37" t="n">
        <x:v>118</x:v>
      </x:c>
      <x:c r="E6" s="37" t="n">
        <x:v>44</x:v>
      </x:c>
      <x:c r="F6" s="37" t="n">
        <x:v>13</x:v>
      </x:c>
      <x:c r="G6" s="37" t="n">
        <x:v>176</x:v>
      </x:c>
      <x:c r="H6" s="38" t="n">
        <x:f>G6/C6</x:f>
        <x:v>1.0173410404624277</x:v>
      </x:c>
      <x:c r="I6" s="39" t="n">
        <x:f>D6/C6</x:f>
        <x:v>0.6820809248554913</x:v>
      </x:c>
      <x:c r="J6" s="39" t="n">
        <x:f>E6/C6</x:f>
        <x:v>0.2543352601156069</x:v>
      </x:c>
      <x:c r="K6" s="39" t="n">
        <x:f>F6/C6</x:f>
        <x:v>0.07514450867052024</x:v>
      </x:c>
      <x:c r="L6" s="40" t="n">
        <x:f>C6*B6*'Giả định'!$B$9</x:f>
        <x:v>1193700</x:v>
      </x:c>
      <x:c r="M6" s="40" t="n">
        <x:f>G6*'Giả định'!$B$10</x:f>
        <x:v>1408000</x:v>
      </x:c>
      <x:c r="N6" s="45" t="n">
        <x:f>M6-L6</x:f>
        <x:v>214300</x:v>
      </x:c>
      <x:c r="O6" s="41" t="n">
        <x:f>N6/L6</x:f>
        <x:v>0.179525844014409</x:v>
      </x:c>
      <x:c r="P6" s="42" t="n">
        <x:v>118</x:v>
      </x:c>
      <x:c r="Q6" s="42" t="n">
        <x:v>4</x:v>
      </x:c>
      <x:c r="R6" s="42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3" t="str">
        <x:v>Giả định và phương pháp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5" t="str">
        <x:v>Giả định</x:v>
      </x:c>
      <x:c r="B4" s="5" t="str">
        <x:v>Giá trị</x:v>
      </x:c>
    </x:row>
    <x:row r="5">
      <x:c r="A5" t="str">
        <x:v>Từ ngày</x:v>
      </x:c>
      <x:c r="B5" t="str">
        <x:v>2026-01-01</x:v>
      </x:c>
    </x:row>
    <x:row r="6">
      <x:c r="A6" t="str">
        <x:v>Đến ngày</x:v>
      </x:c>
      <x:c r="B6" t="str">
        <x:v>2026-06-26</x:v>
      </x:c>
    </x:row>
    <x:row r="7">
      <x:c r="A7" t="str">
        <x:v>Số ngày</x:v>
      </x:c>
      <x:c r="B7" t="n">
        <x:v>173</x:v>
      </x:c>
    </x:row>
    <x:row r="8">
      <x:c r="A8" t="str">
        <x:v>Số vị trí</x:v>
      </x:c>
      <x:c r="B8" t="n">
        <x:v>27</x:v>
      </x:c>
    </x:row>
    <x:row r="9">
      <x:c r="A9" t="str">
        <x:v>Tiền đánh mỗi số (K)</x:v>
      </x:c>
      <x:c r="B9" s="7" t="n">
        <x:v>2300</x:v>
      </x:c>
    </x:row>
    <x:row r="10">
      <x:c r="A10" t="str">
        <x:v>Tiền nhận mỗi hit (K)</x:v>
      </x:c>
      <x:c r="B10" s="7" t="n">
        <x:v>8000</x:v>
      </x:c>
    </x:row>
    <x:row r="11">
      <x:c r="A11" t="str">
        <x:v>Hold mỗi vị trí</x:v>
      </x:c>
      <x:c r="B11" t="n">
        <x:v>65</x:v>
      </x:c>
    </x:row>
    <x:row r="12">
      <x:c r="A12" t="str">
        <x:v>Aggregation</x:v>
      </x:c>
      <x:c r="B12" t="str">
        <x:v>twoHitGreedy</x:v>
      </x:c>
    </x:row>
    <x:row r="14">
      <x:c r="A14" s="8" t="str">
        <x:v>Nguồn và lưu ý</x:v>
      </x:c>
      <x:c r="B14" s="8" t="str"/>
      <x:c r="C14" s="8" t="str"/>
      <x:c r="D14" s="8" t="str"/>
    </x:row>
    <x:row r="15">
      <x:c r="A15" s="10" t="str">
        <x:v>Nguồn backtest</x:v>
      </x:c>
      <x:c r="B15" s="9" t="str">
        <x:v>/Users/chungtv/Desktop/lottery-stats-vercel/reports/backtest_loto_milestone20y_2026-06-27T12-21-12.json</x:v>
      </x:c>
      <x:c r="C15" s="9" t="str"/>
      <x:c r="D15" s="9" t="str"/>
    </x:row>
    <x:row r="16">
      <x:c r="A16" s="10" t="str">
        <x:v>Logic</x:v>
      </x:c>
      <x:c r="B16" s="9" t="str">
        <x:v>Mỗi vị trí tự tính chuỗi Mốc 20 năm chainSmallFirst Hold 65.</x:v>
      </x:c>
      <x:c r="C16" s="9" t="str"/>
      <x:c r="D16" s="9" t="str"/>
    </x:row>
    <x:row r="17">
      <x:c r="A17" s="10" t="str">
        <x:v>Tổng hợp</x:v>
      </x:c>
      <x:c r="B17" s="9" t="str">
        <x:v>Two-hit Greedy xếp hạng số từ 27 vị trí, lấy top 3/4/5/6/7.</x:v>
      </x:c>
      <x:c r="C17" s="9" t="str"/>
      <x:c r="D17" s="9" t="str"/>
    </x:row>
    <x:row r="18">
      <x:c r="A18" s="10" t="str">
        <x:v>Cảnh báo</x:v>
      </x:c>
      <x:c r="B18" s="9" t="str">
        <x:v>Backtest point-in-time không đảm bảo lợi nhuận tương lai.</x:v>
      </x:c>
      <x:c r="C18" s="9" t="str"/>
      <x:c r="D18" s="9" t="str"/>
    </x:row>
  </x:sheetData>
  <x:mergeCells>
    <x:mergeCell ref="A1:D2"/>
    <x:mergeCell ref="A14:D14"/>
    <x:mergeCell ref="B15:D15"/>
    <x:mergeCell ref="B16:D16"/>
    <x:mergeCell ref="B17:D17"/>
    <x:mergeCell ref="B18:D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>
      <x:c r="A1" s="2" t="str">
        <x:v>Kiểm tra báo cáo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4">
      <x:c r="A4" s="5" t="str">
        <x:v>Kiểm tra</x:v>
      </x:c>
      <x:c r="B4" s="5" t="str">
        <x:v>Thực tế</x:v>
      </x:c>
      <x:c r="C4" s="5" t="str">
        <x:v>Kỳ vọng</x:v>
      </x:c>
      <x:c r="D4" s="5" t="str">
        <x:v>Chênh lệch</x:v>
      </x:c>
      <x:c r="E4" s="5" t="str">
        <x:v>Trạng thái</x:v>
      </x:c>
      <x:c r="F4" s="5" t="str">
        <x:v>Ghi chú</x:v>
      </x:c>
    </x:row>
    <x:row r="5">
      <x:c r="A5" t="str">
        <x:v>Số phương án</x:v>
      </x:c>
      <x:c r="B5" t="n">
        <x:v>5</x:v>
      </x:c>
      <x:c r="C5" t="n">
        <x:v>5</x:v>
      </x:c>
      <x:c r="D5" t="n">
        <x:f>B5-C5</x:f>
        <x:v>0</x:v>
      </x:c>
      <x:c r="E5" s="120" t="str">
        <x:f>IF(D5=0,"OK","LỖI")</x:f>
        <x:v>OK</x:v>
      </x:c>
      <x:c r="F5" t="str">
        <x:v>Top 3/4/5/6/7</x:v>
      </x:c>
    </x:row>
    <x:row r="6">
      <x:c r="A6" t="str">
        <x:v>Số ngày</x:v>
      </x:c>
      <x:c r="B6" t="n">
        <x:v>173</x:v>
      </x:c>
      <x:c r="C6" t="n">
        <x:v>173</x:v>
      </x:c>
      <x:c r="D6" t="n">
        <x:f>B6-C6</x:f>
        <x:v>0</x:v>
      </x:c>
      <x:c r="E6" s="120" t="str">
        <x:f>IF(D6=0,"OK","LỖI")</x:f>
        <x:v>OK</x:v>
      </x:c>
      <x:c r="F6" t="str">
        <x:v>Ngày quay hợp lệ trong phạm vi</x:v>
      </x:c>
    </x:row>
    <x:row r="7">
      <x:c r="A7" t="str">
        <x:v>Số vị trí</x:v>
      </x:c>
      <x:c r="B7" t="n">
        <x:v>27</x:v>
      </x:c>
      <x:c r="C7" t="n">
        <x:v>27</x:v>
      </x:c>
      <x:c r="D7" t="n">
        <x:f>B7-C7</x:f>
        <x:v>0</x:v>
      </x:c>
      <x:c r="E7" s="120" t="str">
        <x:f>IF(D7=0,"OK","LỖI")</x:f>
        <x:v>OK</x:v>
      </x:c>
      <x:c r="F7" t="str">
        <x:v>Toàn bộ 27 vị trí</x:v>
      </x:c>
    </x:row>
    <x:row r="8">
      <x:c r="A8" t="str">
        <x:v>Profit top</x:v>
      </x:c>
      <x:c r="B8" t="n">
        <x:v>308600</x:v>
      </x:c>
      <x:c r="C8" t="n">
        <x:v>308600</x:v>
      </x:c>
      <x:c r="D8" t="n">
        <x:f>B8-C8</x:f>
        <x:v>0</x:v>
      </x:c>
      <x:c r="E8" s="120" t="str">
        <x:f>IF(D8=0,"OK","LỖI")</x:f>
        <x:v>OK</x:v>
      </x:c>
      <x:c r="F8" t="str">
        <x:v>Đối chiếu top 6</x:v>
      </x:c>
    </x:row>
  </x:sheetData>
  <x:mergeCells>
    <x:mergeCell ref="A1:F2"/>
  </x:mergeCells>
  <x:pageMargins left="0.7" right="0.7" top="0.75" bottom="0.75" header="0.3" footer="0.3"/>
</x:worksheet>
</file>